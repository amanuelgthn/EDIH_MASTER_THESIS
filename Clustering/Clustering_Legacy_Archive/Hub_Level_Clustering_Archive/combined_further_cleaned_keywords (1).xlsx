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d.docs.live.net/761AFD12A07AB5C7/"/>
    </mc:Choice>
  </mc:AlternateContent>
  <xr:revisionPtr revIDLastSave="0" documentId="8_{C5BD2936-BF06-4865-BEE5-FD30B0123D4C}" xr6:coauthVersionLast="47" xr6:coauthVersionMax="47" xr10:uidLastSave="{00000000-0000-0000-0000-000000000000}"/>
  <bookViews>
    <workbookView xWindow="-120" yWindow="-120" windowWidth="29040" windowHeight="15720" firstSheet="3" activeTab="3" xr2:uid="{00000000-000D-0000-FFFF-FFFF00000000}"/>
  </bookViews>
  <sheets>
    <sheet name="Sheet1" sheetId="1" r:id="rId1"/>
    <sheet name="services_Analysis" sheetId="3" r:id="rId2"/>
    <sheet name="sectors_Analysis" sheetId="2" r:id="rId3"/>
    <sheet name="technologies_Analysi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s="1"/>
  <c r="E5" i="2" s="1"/>
  <c r="E6" i="2" s="1"/>
  <c r="E7" i="2" s="1"/>
  <c r="E8" i="2" s="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 r="E41" i="2" s="1"/>
  <c r="E42" i="2" s="1"/>
  <c r="E43" i="2" s="1"/>
  <c r="E44" i="2" s="1"/>
  <c r="E2" i="2"/>
  <c r="B17" i="3"/>
  <c r="B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16" i="3"/>
  <c r="C15" i="3"/>
  <c r="C14" i="3"/>
  <c r="C13" i="3"/>
  <c r="C12" i="3"/>
  <c r="C11" i="3"/>
  <c r="C10" i="3"/>
  <c r="C9" i="3"/>
  <c r="C8" i="3"/>
  <c r="C7" i="3"/>
  <c r="C6" i="3"/>
  <c r="C5" i="3"/>
  <c r="C4" i="3"/>
  <c r="C3" i="3"/>
  <c r="C2" i="3"/>
  <c r="B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3" i="3"/>
  <c r="D4" i="3"/>
  <c r="D5" i="3"/>
  <c r="D6" i="3"/>
  <c r="D7" i="3"/>
  <c r="D8" i="3"/>
  <c r="D9" i="3"/>
  <c r="D10" i="3"/>
  <c r="D11" i="3"/>
  <c r="D12" i="3"/>
  <c r="D13" i="3"/>
  <c r="D14" i="3"/>
  <c r="D15" i="3"/>
  <c r="D16" i="3"/>
  <c r="D2" i="3"/>
  <c r="E2" i="3" s="1"/>
  <c r="E3" i="3" s="1"/>
  <c r="E4" i="3" s="1"/>
  <c r="E5" i="3" s="1"/>
  <c r="E6" i="3" s="1"/>
  <c r="E7" i="3" s="1"/>
  <c r="E8" i="3" s="1"/>
  <c r="E9" i="3" s="1"/>
  <c r="E10" i="3" s="1"/>
  <c r="E11" i="3" s="1"/>
  <c r="E12" i="3" s="1"/>
  <c r="E13" i="3" s="1"/>
  <c r="E14" i="3" s="1"/>
  <c r="E15" i="3" s="1"/>
  <c r="E16" i="3" s="1"/>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E2" i="4"/>
  <c r="E3" i="4" s="1"/>
  <c r="E4" i="4" s="1"/>
  <c r="E5" i="4" s="1"/>
  <c r="E6"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E36" i="4" s="1"/>
  <c r="E37" i="4" s="1"/>
</calcChain>
</file>

<file path=xl/sharedStrings.xml><?xml version="1.0" encoding="utf-8"?>
<sst xmlns="http://schemas.openxmlformats.org/spreadsheetml/2006/main" count="3031" uniqueCount="2405">
  <si>
    <t>Unnamed: 0.1</t>
  </si>
  <si>
    <t>Column 1</t>
  </si>
  <si>
    <t>EDIH Title</t>
  </si>
  <si>
    <t>Description (indexed field)</t>
  </si>
  <si>
    <t>Country</t>
  </si>
  <si>
    <t>Contact name</t>
  </si>
  <si>
    <t>Contact Location</t>
  </si>
  <si>
    <t>EDIH/SoE</t>
  </si>
  <si>
    <t>Website</t>
  </si>
  <si>
    <t>Formatted sectors</t>
  </si>
  <si>
    <t>Formatted services</t>
  </si>
  <si>
    <t>Formatted technologies</t>
  </si>
  <si>
    <t>Unnamed: 0</t>
  </si>
  <si>
    <t>EDIH for DATA-BASED INNOVATION FOR CIRCULAR ECONOMY, OPERATIONS &amp; SUSTAINABILITY</t>
  </si>
  <si>
    <t>The regional Data2Sustain EDIH consortium is a unique partnership approach across the NUTS II Northern and Western region. The consortium combines the core competences of the higher education institutes (HEI), with the innovation and business acumen of the complementary EDIH partners. This unique partnership structure demonstrates a shared management approach between researchers, technology providers, policy makers, innovation practitioners and business support agencies. The partnership structure encompasses 4 Technological Competence Centres, 3 Business support organisations, with 4 of the partners havin a local, or regional, planning, economic development, and investment remit, as well as European networked partner with extensive experience in digital innovation in public organisations. Data2Sustain is a coordinated group of organisations with complementary expertise, with a not-for-profit objective. It will support SMEs, as well as the public sector. It has a focus on circular economy, operations &amp; sustainability areas, utilising AI, HPC and Cybersecurity technological competence, with particular emphasis of data/data analytics driven innovation and regard to energy consumption and low carbon emissions. We have jointly developed a comprehensive service programme to increase the transformation capacity and speed of SMEs/POs in the region, nationally and in Europe with regard to advanced digital innovations and skills development. The partnership has a comprehensive physical presence across the most economically challenged region of the state, with a well-established record of successfully engaging with target groups. Our ambition is to: ‘BE A LEADING EDIH IN THE PROVISION OF DIGITALISATION SERVICES IN THE AREA OF CIRCULAR ECONOMY, OPERATIONS &amp; SUSTAINABILITY, BASED ON DATA AND DATA ANALYTICS DRIVEN INNOVATION APPROACHES HELPING TO CREATE SMARTER, GREENER, MORE SUSTAINABLE PROCESSES, SYSTEMS, PRODUCTS, SERVICES AND BUSINESS MODELS’</t>
  </si>
  <si>
    <t>Ireland</t>
  </si>
  <si>
    <t>Mike Conroy</t>
  </si>
  <si>
    <t>ATU Sligo, Sligo, Co. Sligo, F91YW50, Ireland</t>
  </si>
  <si>
    <t>Seal of Excellence</t>
  </si>
  <si>
    <t>http://data2sustain.ie</t>
  </si>
  <si>
    <t>food and beverages, telecommunications, manufacturing and processing, construction assembly, travel and tourism, smart city, cultural and creative economy, life sciences</t>
  </si>
  <si>
    <t>field trial, prototyping, circular economy, sme business development, knowledge transfer, regional development, sme business development, ecosystem building</t>
  </si>
  <si>
    <t>artificial intelligence decision support, big data, high performance computing, cyberphysical systems, locationbased applications, communication network</t>
  </si>
  <si>
    <t>InnovTourism DIH -  Gateway for Tourism innovation &amp; digitalization, strengthening the sector ecosystem and enabling technology adoption in the industry</t>
  </si>
  <si>
    <t>InnovTourism DIH was designed to act as a key reference within the Portuguese and European digital innovation ecosystem, supporting SMEs, Start-ups, and PA in the sector to strive for their digital transformation processes, thus directly contributing to the Digital Europe Programme strategy of bringing digital technology to businesses, citizens and public administration.
The HUB consists of a not-for-profit one-stop shop offering strategic services and tools aimed at increasing organizations digitalization, sustainability, competitiveness, production, and commercialization of products or services. A tourism industry-dedicated innovation HUB in Portugal is the ideal opportunity to generate regional, national, and European-level digital solutions through technological experimentation, finance and business advising, training, and skills development, supporting organizations developing inexistent solutions, in full alignment with the European Digital Innovation HUB spirit.The HUB action will strategically cover specific technological domains like Artificial Intelligence (AI), IoT, Biometrics, Virtual Assistants, Medium and Advances Digital skills, Gamification, AR/VR, Cloud Computing, Data Analytics, Predictable Modelling, Geolocation, Blockchain, and Cybersecurity. These topics will stand as a reference within the HUB services InnovTourism DIH is a non-profit, public-private cooperation between ten entities, coordinated by NEST  Tourism Innovation Center Portugal (Cluster), followed by UniNova (Technology Interface Center), IPLeiria - Instituto Politécnico de Leiria (Entrepreneurship Knowledge Center), Algarve STP (Technology Developer), Beta-i (Accelerator), Turismo de Portugal (Tourism National Promoter), ACIFCCIM - Associação Industrial e Comercial do Funchal &amp; Camara de Comércio e Indústria da Madeira, TTC "The Tomorrow Company" (Technology Developers), FI Group and Deloitte (Consultants).</t>
  </si>
  <si>
    <t>Portugal</t>
  </si>
  <si>
    <t>Manuel Trindade</t>
  </si>
  <si>
    <t>Praça do Municipio, 6200-000 Covihã, Portugal</t>
  </si>
  <si>
    <t>food and beverages, smart city, travel and tourism, transport mobility</t>
  </si>
  <si>
    <t>circular economy, ecosystem building, innovation management, knowledge transfer, sme business development, sme support, technology transfer, technological innovation, vocational training</t>
  </si>
  <si>
    <t>artificial intelligence decision support, big data, blockchain and distributed ledger technology dlt, cloud services, communication network, cybersecurity, digital twins, internet of things, internet services applications, virtual reality</t>
  </si>
  <si>
    <t>ANDALUSIAN DIGITAL INNOVATION HUB IN ARTIFICIAL INTELLIGENCE AND ROBOTICS</t>
  </si>
  <si>
    <t>The main objective of AIR-Andalusia is to set up and guarantee the correct operativity of a regional node for the European Digital Innovation Hubs in Andalusia (Spain). Located in the south of the Iberian Peninsula, Andalusia is the most populated Autonomous Community and the second largest in Spain; being an outermost region of Europe. AIR-Andalusia is conceived as a supporting tool to foster the digital transformation of the region, focused on applied Artificial Intelligence and Robotics for (a) SMEs and small mid-caps and (b) public sector organisation, as varied a sectoral coverage as possible. AIRA aims to improve entities’ efficiency and competitiveness, providing them with access to different digitalization services focused on improving business processes, products or services. The services list includes different offers of support covering the whole life cycle of the new product/service development, either to solve technical gaps (‘Test before Invest’ and ‘Training’), to foster synergies with other relevant stakeholders for the service/product development (‘Ecosystem’); options to fund potential R&amp;D or investment projects as the last step for the scale-up of the tested solutions (‘Find Investment’). Therefore, the consortium expects to cover all the potential needs of the entities, prioritising SMEs, to help them reach market. Up to 1.624 complete services are expected to be given during the 3 years period to about 325 entities, including SMEs, start-ups and mid-caps, and public entities. Finally, mobilising new investment in the region to reach the digital transformation. The consortium (20 beneficiaries and 4 Affiliated Entities) is multisectoral and wide enough to cover the great diversity of application sectors of AI and robotics, and the territorial distribution in this extensive region, including representation of Research and Technology entities, Technological companies, Technological Parks and Entrepreneurial associations.</t>
  </si>
  <si>
    <t>Spain</t>
  </si>
  <si>
    <t>Enrique Herrera Viedma</t>
  </si>
  <si>
    <t>Cuesta del hospicio sn, 18071 Granada Granada, Spain</t>
  </si>
  <si>
    <t>https://www.airandalusia.es/es/home-espanol/</t>
  </si>
  <si>
    <t>defence, education, energy, environment, health care, manufacturing and processing, personal services, public administration, security, smart city, telecommunications, transport mobility</t>
  </si>
  <si>
    <t>innovation management, knowledge transfer, prototyping, technological innovation, sme support, vocational training, technology transfer</t>
  </si>
  <si>
    <t>artificial intelligence decision support, robotics, big data, digital twins, quantum technologies computingcommunication, simulation engineering and modelling</t>
  </si>
  <si>
    <t>NASK – National Research Institute</t>
  </si>
  <si>
    <t>Cybersecurity and user protection – our key activities involve ensuring security online. Responding to network security violations occurring in Poland and coordinating corrective actions is the responsibility of the Centre for Cybersecurity. The Center for Standardization and Certification of NASK-PIB, an organizational unit included in the internal Organizational Regulations within NASK acts as an accredited Certification Body. The center certifies products in the field of IT security (cybersecurity). With the enactment of the Act on the national cybersecurity systems, NASK was given the important role of serving as one of three nation-wide CSIRTs. The NASK CSIRT receives and analyses reports, takes actions and coordinates responses to incidents occurring in Polish civilian cyberspace reported by key service operators, digital service providers, local authorities and individuals. It also responds to incidents involving the uploading of content which is illegal or poses a hazard to children; as well as monitoring online threats and the level of cybersecurity in individual sectors and the entire country. Keywords: Cybersecurity, Certification</t>
  </si>
  <si>
    <t>Poland</t>
  </si>
  <si>
    <t>Magda Druzd</t>
  </si>
  <si>
    <t>Kolska 12 st, 01-045 Warsaw, Poland</t>
  </si>
  <si>
    <t>DIH</t>
  </si>
  <si>
    <t>https://en.nask.pl/</t>
  </si>
  <si>
    <t>defence, telecommunications, security</t>
  </si>
  <si>
    <t>knowledge transfer, regional development, sme support</t>
  </si>
  <si>
    <t>cloud services, cyberphysical systems, cybersecurity, internet of things</t>
  </si>
  <si>
    <t>Pôle SCS</t>
  </si>
  <si>
    <t>SCS (Secured Communicating Solutions) cluster (www.pole-scs.org), is based in the Provence-Alpes-Côte d’Azur region, in France, and gathers 300 members, including companies (and 70% of SMEs), research centres and educational institutions in the fields of microelectronics, IoT, Big Data, Artificial Intelligence and Digital Security. As a non-profit organisation with the status of "French Competitiveness cluster" recognised at national level, the aim of SCS cluster is to promote the development of competitive R&amp;D projects between all these players with the support of local communities, in order to design and develop new solutions targeting high-growth markets such as smart cities, smart homes and smart buildings, smart grids, Industry x.0, or e-health. It also aims to contribute to the creation of an appropriate ecosystem for the overall regional digital and deeptech landscape, especially through the development of SMEs. The cluster represents 60 000 jobs in these fields, 26 multinational companies, 1200 researchers in the public sector and 18 educational institutions training 1500 engineers per year. Partner in the European Digital Innovation Hub Move2Digital Keywords: Open innovation, networking, Deeptech, digital technologies, IoT, AI, cybersecurity, microelectronics, electronics, optics, photonics</t>
  </si>
  <si>
    <t>France</t>
  </si>
  <si>
    <t>Marielle Campanella</t>
  </si>
  <si>
    <t>Place borde, 13790 Rousset, France</t>
  </si>
  <si>
    <t>https://www.pole-scs.org/</t>
  </si>
  <si>
    <t>defence, energy, health care, telecommunications, security, smart city, transport mobility</t>
  </si>
  <si>
    <t>innovation management, knowledge transfer, prototyping, regional development, smart specialisation strategies, sme business development, sme support, technological innovation</t>
  </si>
  <si>
    <t>artificial intelligence decision support, big data, cybersecurity, internet of things, micro and nanoelectronics, optoelectronics, photonics, semiconductors and nanotechnology, sensors vision processing systems, simulation engineering and modelling</t>
  </si>
  <si>
    <t>Cybersecurity Innovation Hub</t>
  </si>
  <si>
    <t>CIH will significantly support digital transformation and application of innovation in SMEs and public administration by building a coordinated and effective ecosystem comprising top research institutions with the necessary know-how and infrastructure, specialized business clusters, professional organizations, and public authorities. This robust ecosystem will provide its beneficiaries with access to education and information on cybersecurity trends and best practices, to expert advice and state-of-the-art infrastructures to verify the suitability and security of innovative solutions under consideration and increase the availability of funds to invest in innovation. CIH will also function as a platform for cooperation and information sharing between entities in the cybersecurity market, both at the level of Czechia and the EU. This will increase the efficiency and competitiveness of the EU cybersecurity industry, the security of IT infrastructures and the strength of the EU economy. CIH draws on partnerships and participation in international networks and builds on the success of Czech research and industry. CIH covers cybersecurity on the horizontal from various points of view (technical, legal, economic, social etc.), on the vertical CIH operates at all levels - it plays an important role in building the legislative environment, in research, commercialization and implementation of technologies, and in awareness raising and education. CIH also has links to standardization and certification that shape the cybersecurity market. This holistic approach and the ability to thoroughly map the ecosystem make CIH an attractive partner for international cooperation. This is also confirmed by its participation in 3 EU pilot research projects (Sparta, CyberSec4Europe and Concordia), cooperation with the EU and international organizations (ENISA, Europol, UN, NIST, etc.), and involvement in professional initiatives (e.g. REWIRE - capacity building in cybersecurity in the EU).</t>
  </si>
  <si>
    <t>Czechia</t>
  </si>
  <si>
    <t>Tereza Samanova</t>
  </si>
  <si>
    <t>Šumavská 416/15, 602 00 Brno, Czechia</t>
  </si>
  <si>
    <t>EDIH</t>
  </si>
  <si>
    <t>https://www.cybersecurityhub.cz/</t>
  </si>
  <si>
    <t>defence, education, energy, environment, financial, health care, life sciences, manufacturing and processing, metal working and industrial production, personal services, public administration, retail, wholesale or distribution, security, smart city, space, telecommunications, transport mobility, transport sector, travel and tourism</t>
  </si>
  <si>
    <t>ecosystem building, innovation management, finance, knowledge transfer, prototyping, public sector innovation, sme business development, sme support, technological innovation, technology transfer, vocational training</t>
  </si>
  <si>
    <t>artificial intelligence decision support, big data, cloud services, communication network, cyberphysical systems, cybersecurity, high performance computing, internet of things, internet services applications, software architectures</t>
  </si>
  <si>
    <t>EDIH Czech Technical University in Prague</t>
  </si>
  <si>
    <t>The EDIH CTU represents a major European Digital Innovation Hub in the Czech Republic in the field of Artificial Intelligence (AI) and Machine Learning (ML) transferring trustworthy solutions and services to the industry, health, transportation and energy sectors. The EDIH CTU, with its vision "Inspire &amp; Make the Czech AI-driven Industry", aims to become the innovation and technology leader in providing professional AI/ML services for the local SMEs, small mid-caps and public sector organizations with respect to their digital and green transformation. The strong consortium partners representing academia, the business sector and key associations of enterprises in the Czech Republic provide sufficient know-how, expertise and state-of-the-art experimental facilities to serve the needs of the public and private sectors at the national and also international levels. The major focus is on promoting digital transformation adoption, providing high-quality services, education and knowledge sharing, pursuing ecosystem development, and establishing strong inter-EDIH collaboration. The consortium builds upon already existing partnerships in AI and manufacturing enabling best practice sharing, expertise exchange, and joint activities seeking far-reaching synergies thus strengthening the far-reaching impacts of the European network of EDIHs.</t>
  </si>
  <si>
    <t>Barbora Zochova</t>
  </si>
  <si>
    <t>Jugoslavskych partyzanu 1580/3, 160 00 Praha, Czechia</t>
  </si>
  <si>
    <t>https://www.edihctu.eu</t>
  </si>
  <si>
    <t>telecommunications, automotive, construction assembly, education, electricity, energy, environment, health care, manufacturing and processing, metal working and industrial production, nuclear, public administration, smart city, space</t>
  </si>
  <si>
    <t>technology transfer, technological innovation, sme support, smart specialisation strategies, public sector innovation, circular economy, field trial, innovation management, prototyping, vocational training</t>
  </si>
  <si>
    <t>artificial intelligence decision support, bi tools, gamification, software architectures, sensors vision processing systems, robotics, human computer interaction, internet of things, internet services applications</t>
  </si>
  <si>
    <t>Digital Innovation Hub for a Smarter, Safer and more Sustainable Society (DIH4Society)</t>
  </si>
  <si>
    <t>News: 
 launched the call for selecting the SMEs who will benefit from the services. Details &amp; info are available: https://dih4society.ro/apel-imm/
Accelerating digital green transformation and innovation uptake across the economy and society is at the forefront of Europe’s growth agenda. Digital Innovation Hubs (DIHs) are one of the pillars to uphold this process and will help to consider the geographical (regional) dimension and thematic context to boost SME growth, citizen centered governance, jobs and investment. The COVID19 crisis has demonstrated the absolute necessity of having strong European digital ecosystems as key enablers to avoid disruption in value-chains. However, digitalization and digital transformation can only be efficient if digital ecosystems are strongly interlinked with their applied market sectors. Due to inertia and/or legacy, the manufacturing, public administration and health sectors are among the most challenging ones. The project Digital Innovation Hub for Society for a Smarter, Safer and more Sustainable Society comes to upscale the services that DIH4Society can deliver in the North-West Region of Romania and aims at fully integrating our initiative into the European network of hubs. The project focuses on two technological pillars, cybersecurity and smart robotics, while also building advanced digital competencies for digitalization and green digital transformation. Upon finalization, the project will have a profound, transformative impact on a regional level through the digital progression of 70 key stakeholders, public administration and health providers, and more than 400 SMEs from smart specialization sectors. DIH4Society will provide a European solution to a European challenge and will bring or embed digitalization in the practices of many organizations. In the long run the project will inspire a new generation of early adopters of technologies, new entrepreneurial initiatives of visionary companies and organizations that use cutting edge technologies at the core of their business models and will build the foundation for a citizen centered public service delivery.</t>
  </si>
  <si>
    <t>Romania</t>
  </si>
  <si>
    <t>Andrei KELEMEN</t>
  </si>
  <si>
    <t>Str. Dorobantilor 57A, First Floor, 400609 Cluj-Napoca, Romania</t>
  </si>
  <si>
    <t>https://dih4society.ro/</t>
  </si>
  <si>
    <t>manufacturing and processing, public administration, health care, smart city, communityled local development, education, energy</t>
  </si>
  <si>
    <t>ecosystem building, field trial, finance, innovation management, knowledge transfer, prototyping, public sector innovation, regional development, smart specialisation strategies, sme business development, sme support, technological innovation, technology transfer, vocational training</t>
  </si>
  <si>
    <t>cybersecurity, robotics, artificial intelligence decision support</t>
  </si>
  <si>
    <t>Digital Innovation Hub of the Galician Industry</t>
  </si>
  <si>
    <t>Galicia is the 6º Spanish region least digitalized, according to the DiGiX that assesses the factors that enable to fully leverage ICTs for increased competitiveness and well-being. Being 99,92% of Galician companies SMEs, there is a clear need to address digitalization at this scale. Furthermore, manufacture is not only a critical sector for the Digital Europe Programme, but it also represents almost 15% of the Galician economy. European digitalization of SMEs goes necessarily through the digitalization of the Galicia manufacturing SMEs. DIHGIGAL's goal is to boost the digital transformation of all industry focusing on SMEs and mid-caps needs. This will be achieved by the diverse composition of its consortium: *3 leading manufacturing sectors (automotive, naval and food) represented by their clusters (CEAGA, ACLUNAGA &amp; CLUSAGA) bringing together not only their companies (20,000M€ turnover and 50,000 employees) but also their technology centres along with a cross-sectorial ecosystem (Galicia Digital) which opens the EDIH to whole industrial sector. *4 leading competence centres combining the best capacities in HPC and AI represented by CESGA-Supercomputing Centre, ITG and Universities of Vigo and Coruña (which chairs the Spanish Association for AI) along with the private supply through the ICT cluster. *3 complementary agents (FEUGA, KPMG &amp; Inovalabs) to provide service to the entire digital ecosystem. All of them are crucial to implement specialized actions and to extend the scope and impact of the project. In this sense, DIHGIGAL is part of a broader vision aligned with policies at regional (RIS3), national, and European (2030 Digital Compass, Green Deal, and White Paper on AI) level. In terms of the foreseeable impact, over 800 SMEs, mid-caps and public entities are expected to benefit directly from the project and the collaboration with other EDIHs. This is DIHGIGAL commitment to enhance the twin transition in Galicia and, hence, the EU.</t>
  </si>
  <si>
    <t>Josefina Alonso Nocelo</t>
  </si>
  <si>
    <t>Avda. Citroën, 3 y 5 – Edificio Zona Franca 1ª Planta, 36210 Vigo Pontevedra, Spain</t>
  </si>
  <si>
    <t>https://dihgigal.com</t>
  </si>
  <si>
    <t>manufacturing and processing, automotive, transport mobility, food and beverages, maritime, retail, wholesale or distribution, textiles</t>
  </si>
  <si>
    <t>sme support, ecosystem building, finance, technological innovation, circular economy, innovation management, vocational training, technology transfer, smart specialisation strategies, regional development, public sector innovation</t>
  </si>
  <si>
    <t>artificial intelligence decision support, high performance computing, big data, cybersecurity, internet of things, mobility, quantum technologies computingcommunication, sensors vision processing systems</t>
  </si>
  <si>
    <t>Digital Innovation Hub for Nouvelle-Aquitaine Manufacturing Industry Community</t>
  </si>
  <si>
    <t>Led by a consortium of 13 partners, DIHNAMIC aims to give access to AI-based digital technologies, advanced robotics, digital twinning and intelligent systems. Granting access to these resources is expected to accelerate and guide the green, digital and sustainable transition of 116 innovative manufacturing companies and 8 public authorities from the French Nouvelle-Aquitaine region. With a total number of 600 services delivered over the course 3 years, DIHNAMIC will encourage and support the development of a digitised, resilient and resource-efficient industry in line with trustworthy AI concepts. DIHNAMIC will contribute to the objectives laid-out in policies such as the New Industrial Strategy for Europe, the Digital Europe Programme”, "Europe fit for the Digital Age Strategy”, or the “European Green Deal”. The services offered are designed to foster the uptake of trustworthy AI, in response to the industry's need to adapt to current economic, ecological and societal challenges, while considering applied ethical and environmental aspects in their innovation and digitalisation process. AI-based service follow the recommendations from the “European Trustworthy AI strategy” Links and partnerships will be established with other EDIHs and research centres active in AI, HPC and Cybersecurity. DIHNAMIC will act as a transmission belt, transmitting feedbacks from the regional ecosystem to European authorities while contributing to the implementation of European policies and strategies. DIHNAMIC will also facilitate the access of regional companies to finance, helping companies to raise a total of 2 million euros in additional investment over the course of 3 years. To enable a rapid start of the project, DIHNAMIC has already established a customer journey and developed dedicated delivery channels to favour cross-learning and impactful service delivery.</t>
  </si>
  <si>
    <t>Véronique Desbleds</t>
  </si>
  <si>
    <t>6 allee du doyen georges brus, 33600 Pessac, France</t>
  </si>
  <si>
    <t>https://www.dihnamic.eu</t>
  </si>
  <si>
    <t>manufacturing and processing, aeronautics, agricultural biotechnology and food biotechnology, health care, energy, defence, environment, transport sector</t>
  </si>
  <si>
    <t>technological innovation, prototyping, public sector innovation, ecosystem building, sme support</t>
  </si>
  <si>
    <t>artificial intelligence decision support, big data, digital twins, high performance computing, human computer interaction, internet of things, robotics, virtual reality, additive manufacturing, cybersecurity, logistics</t>
  </si>
  <si>
    <t>EDIH CASSOVIUM</t>
  </si>
  <si>
    <t>Mission of the project EDIH CASSOVIUM (EDCASS) is to support reinforcement of European critical digital technologies and their best use in green digital transformation of industrial and public ecosystems in the region of the Eastern Slovakia Region (ESK-REG). Consortium of three top-research and innovation institutions in ESK-REG – two internationally recognised universities Technical University in Košice (coordinator) and Pavol Jozef Šafárik University in Košice, and a highly recognised ICT cluster Košice IT Valley. ESK-REG consisting of Košice Self-governing Region and Prešov Self-governing Region, which in European context are classified as “less developing regions” has low level of innovation score and use of digital services, also low an unemployment rate (of 8.2 %) and level of average wages. Therefore, it is important that EDCASS ensures its digital transformation services are easily accessible to all SMEs (95+ % of all companies in ESK-REG) and public institutions. The key goal of EDCASS is to provide one-stop-shop support for four categories of EDIH services with an adequate, knowledge-based, and technically high-quality range of information technologies guaranteed by the ecosystem of the consortium partners. The consortium covers a wide range of multi-sectors and multi-dimensional ICT areas, which fall within research and educational competencies of all partners. EDCASS platform is based on three basic pillars: 1) Artificial Intelligence and Robotics; 2) Industry 4.0/5.0 concepts, application and implementation; 3) Cyber security solutions for commercial and public subjects. In line with its mission, these services and technologies are and will be supported by active links to European DIH, EDIH networks and other European networks (EEN, Startup Europe) and bilateral collaboration with suitable partner research and innovation institutions.</t>
  </si>
  <si>
    <t>Slovakia</t>
  </si>
  <si>
    <t>Miroslav Michalko</t>
  </si>
  <si>
    <t>Letná 1/9, 042 00 Košice, Slovakia</t>
  </si>
  <si>
    <t>https://www.edihcassovium.sk</t>
  </si>
  <si>
    <t>manufacturing and processing, smart city, public administration, energy, transport mobility, telecommunications, education, aeronautics, construction assembly, cultural and creative economy, metal working and industrial production, travel and tourism, mining and extraction</t>
  </si>
  <si>
    <t>prototyping, innovation management, ecosystem building, sme business development, technology transfer, technological innovation, public sector innovation, regional development, smart specialisation strategies, vocational training, finance, circular economy</t>
  </si>
  <si>
    <t>artificial intelligence decision support, cybersecurity, robotics, big data, simulation engineering and modelling, software architectures, internet of things, cyberphysical systems, cloud services, communication network, additive manufacturing, digital twins, virtual reality, blockchain and distributed ledger technology dlt, micro and nanoelectronics, optoelectronics, gamification, high performance computing</t>
  </si>
  <si>
    <t>EDIH Lombardia</t>
  </si>
  <si>
    <t>EDIH L - M.I.A. Lombardia
The mission of EDIH Lombardia (EDIH L) is to lead and implement the digital and sustainable twin transition of Lombardy’s manufacturing industry through a comprehensive portfolio of services provided by its partners. Recognized as a EDIH and awarded the "Seal of Excellence", EDIH Lombardia plays a key role in driving digital and sustainable transformation in Lombardy, one of Europe’s most productive regions.
Recently renamed as Manufacturing Innovation Alliance (M.I.A.) Lombardia, the organization is a consortium of 12 partners dedicated to supporting manufacturing companies in their digitalization efforts, in alignment with European and national industrial policies. The consortium includes 1 Competence Center, 1 Digital Innovation Hub (both listed in the JRC catalogue), 4 Technology Clusters, 3 Business Associations, 1 Financial Institution, 2 EIT Nodes.
M.I.A. Lombardia aims to support digitalization and sustainability in the manufacturing sector, with a particular focus on SMEs. It offers a broad range of tailored services, including consultancy, training, and access to funding, helping companies adopt innovative technologies, enhance competitiveness, and drive sustainable transformation.
Specific Objectives
Supporting digital and sustainable transformation:M.I.A. Lombardia guides manufacturing companies through their digitalization journey, promoting the adoption of advanced technologies to improve efficiency and sustainability. This includes Industry 4.0 solutions and greener, more digitalized processes.
Providing personalized services:The hub offers tailored services such as technical consultancy, training, and audits, adapting to each company's specific needs. This approach enables businesses to tackle digitalization challenges with the right tools and scalable solutions based on their digital maturity level.
Leveraging NRRP funds and state incentives:Through PNRR financing and various incentives, M.I.A. Lombardia provides companies with financial resources to support the adoption of innovative technologies. These funds are allocated based on company size, with some incentives covering up to 100% of costs for micro and small enterprises.
Promoting advanced technological skills:M.I.A. Lombardia organizes awareness-raising and training initiatives to help companies understand and implement new technologies. By offering testing programs and prototype development, businesses can evaluate technological solutions before large-scale investments, reducing risks and accelerating digital transformation.
As part of M.I.A. Lombardia, MADE coordinates the “EDIH Manufacturing Network – EDIH4MANU”, an open, informal collaboration network of 25 EDIH candidates from 15 EU countries. This network aims to connect Europe’s most advanced manufacturing regions, share specializations, best practices, competencies, and services, and promote the digital transition of European industry.</t>
  </si>
  <si>
    <t>Italy</t>
  </si>
  <si>
    <t>Carlo Ongini</t>
  </si>
  <si>
    <t>Piazza Leonardo Da Vinci 32, 20133 Milano MI, Italy</t>
  </si>
  <si>
    <t>https://www.mialombardia.it/</t>
  </si>
  <si>
    <t>manufacturing and processing, communityled local development, life sciences, textiles, aeronautics, education, metal working and industrial production, automotive</t>
  </si>
  <si>
    <t>sme support, technology transfer, vocational training, field trial, prototyping, regional development, ecosystem building, innovation management, circular economy, technological innovation</t>
  </si>
  <si>
    <t>artificial intelligence decision support, human computer interaction, robotics, digital twins, cybersecurity, big data, additive manufacturing, internet of things, logistics, simulation engineering and modelling, virtual reality</t>
  </si>
  <si>
    <t>EDIH MADRID REGION</t>
  </si>
  <si>
    <t>Madrid is a Spanish region covering only 1.6% (8,030 km2) of the country’s area but it generates 19,3% of Gross Domestic Product (GDP) and where 14,2% (6.7 million) of the population of the Country live. Madrid Region has one of the major enterprise’s densities of all country, 85.8 companies per 1,000 inhabitants and it concentrates near 16,2% of all companies in Spain. In total, there are 552,027 enterprises in the Region . This makes Madrid Region a Business decision Centre. The EDIH MADRID REGION is created with the aim of being the reference Centre to improve the digitization of both public sector and small and medium-sized companies in Madrid Region. To achieve this ambitious goal, EDIH MADRID REGION is made up of a powerful consortium of 11 partners. EDIH MADRID REGION is led (coordinated) and co-financed by the regional government of Madrid. One of the members of the consortium is the Fundación para el Conocimiento madri+d (Fmi+d), which is the coordinator of the Madrid node of the European Enterprise Network (EEN). In this way, it is ensured that EDIH MADRID REGION will offer a continuous service with EEN and Startup Europe. Among the EDIH MADRID REGION partners there are several partners who have a deep understanding of the needs of the entities to which the services to be provided by the EDIH are addressed. EDIH MADRID REGION partners include several partners with extensive experience in developing solutions based on the key digital technologies of the Digital Europe programme. Based on the key sectors identified in the previous strategy, the regional policies in various areas, the priorities of the Digital Europe program and the experience of the partners of the EDIH MADRID REGION consortium, it has been decided to prioritize the following economic sectors to give their digitization support services: o SMEs in the services sector o SMEs in the industrial sector: Industry 4.0 o Regional and municipal public administration o The area of mobility</t>
  </si>
  <si>
    <t>Pedro Jesus Rodriguez</t>
  </si>
  <si>
    <t>Calle del Maestro Ángel Llorca, 6, 28003 Madrid Madrid, Spain</t>
  </si>
  <si>
    <t>manufacturing and processing, personal services, public administration, education, transport mobility, construction assembly, aeronautics, agricultural biotechnology and food biotechnology, transport sector, travel and tourism</t>
  </si>
  <si>
    <t>knowledge transfer, innovation management, prototyping, public sector innovation, sme support, technological innovation, technology transfer</t>
  </si>
  <si>
    <t>artificial intelligence decision support, cybersecurity, high performance computing, blockchain and distributed ledger technology dlt, robotics, simulation engineering and modelling, mobility, cloud services, locationbased applications, internet of things</t>
  </si>
  <si>
    <t>European Digital Innovation Hub for employee-centered digital transformation in South Westphalia</t>
  </si>
  <si>
    <t>The planned EDIH is located in the German region of South Westphalia. South Westphalia is an industrial region with a strong focus on small and medium-sized enterprises (SMEs), with more than 150 so-called “hidden champions”, i.e. those often little-known small and medium-sized enterprises that are among the European and world market leaders in niche markets. The major industrial sectors of metal production and processing as well as mechanical engineering generate 75 % of total sales in the industrial sector each year, accounting for about two-thirds of total industrial employment. South Westphalia is therefore not only the third strongest region in Germany and by far the strongest industrial region in North Rhine-Westphalia (most populous federal state in Germany), but also one of the oldest industrial regions in Europe. However, the strategic orientation of EU policies and the twin objectives of making Europe greener and more digital poses challenges for the rather traditional “old industry” within South Westphalia. The focus must therefore be on providing the best possible support for SMEs within South Westphalia in overcoming these challenges. For this reason, establishing an EDIH with a strong European orientation is of particular benefit to the South Westphalian economy with its high export quota. The economic success of SMEs in South Westphalia is based on the expertise of their employees, which has grown over decades. The EDIH SWF will provide a set of services and infrastructures to support SMEs in how this product-specific expertise of human specialists and executives can be complemented by the adoption and development of in-depth, socio-informatic digitization competencies in the design of human-centered artificial intelligence, employee-based cyber-security as well as socio-technical assistance systems. The EDIH will support SMEs during the transformation process in cooperation with the social partners to maintain innovative strength in the long term.</t>
  </si>
  <si>
    <t>Germany</t>
  </si>
  <si>
    <t>Thomas Ludwig</t>
  </si>
  <si>
    <t>Adolf-Reichwein-Strasse 2a, 57076 Siegen, Germany</t>
  </si>
  <si>
    <t>manufacturing and processing, metal working and industrial production, automotive, construction assembly, public administration, smart city, health care</t>
  </si>
  <si>
    <t>prototyping, sme support, field trial, innovation management, knowledge transfer, circular economy, technological innovation, technology transfer, public sector innovation</t>
  </si>
  <si>
    <t>cyberphysical systems, human computer interaction, additive manufacturing, internet of things, digital twins, virtual reality, artificial intelligence decision support, gamification, internet services applications, laserbased manufacturing and materials processing, robotics, new technologies for audiovisual sector media, cybersecurity, mobility</t>
  </si>
  <si>
    <t>EDIH VILNIUS: accelerating green and digital transformation in Vilnius region</t>
  </si>
  <si>
    <t>Responding to the DIGITAL-2021-EDIH-01-INITIAL call, EDIH VILNIUS is submitting the proposal with a goal to enable the EDIH VILNIUS to effectively support the digital and green transformation of SMEs and public sector organisations in the Vilnius region. The specific objectives of the project directly correspond to the objectives of the call and are the following:(1) to ensure full integration of the EDIH VILNIUS into a common network of EDIHs in order to facilitate effective international cooperation and service provision as well as identify and cover the needs of Vilnius region SMEs and public sector organisations in a field of digital and green transformation by providing a full package of integrated services(2) to upgrade the capacity of the EDIH VILNIUS to ensure the proper provision of these services(3) to build networks between EDIH VILNIUS and other relevant organisations in Europe and worldwide in order to ensure sharing of capacities and knowledge, especially, in the fields of High Performance Computing, Artificial Intelligence, Cybersecurity, Advanced Digital Skills.
Moreover, the project will directly contribute to the overall Digital Europe Programme objectives as EDIH VILNIUS will become a part of EDIHs network on the EU level and will help to cover a specific EU region (Vilnius region, Lithuania). EDIH VILNIUS is already a mature consortium which is deeply engaged in its activities. At the moment the consortium brings together digital technology expertise, with the specific focus on AI technologies, in different sectors as well as infrastructure needed to provide high quality services in the Vilnius region. Therefore, EDIH VILNIUS is able to ensure a successful implementation of the project and its objectives. The project will help members of EDIH VILNIUS to better combine their forces, infrastructure and competencies for a common goal - comprehensive digital and green transformation of Lithuanian industry, SMEs and public sector organisations.</t>
  </si>
  <si>
    <t>Lithuania</t>
  </si>
  <si>
    <t>Evelina Šalavėjienė</t>
  </si>
  <si>
    <t>Sauletekio al. 15, 10224 Vilnius Lithuania, Lithuania</t>
  </si>
  <si>
    <t>http://www.edih.lt</t>
  </si>
  <si>
    <t>manufacturing and processing, manufacturing and processing, education</t>
  </si>
  <si>
    <t>circular economy, sme support, technological innovation, technology transfer, sme business development, ecosystem building</t>
  </si>
  <si>
    <t>additive manufacturing, artificial intelligence decision support, cyberphysical systems, cybersecurity, digital twins, high performance computing, internet of things</t>
  </si>
  <si>
    <t>EDIH-DIGIMAT: Flexible Manufacturing Systems Using Artificial Intelligence</t>
  </si>
  <si>
    <t>EDIH-DIGIMAT’s vision is more digitalized, productive, and competitive manufacturing sector, with its workforce adapted to this trend. It wants to contribute to sustaining the importance of the manufacturing sector to the Czech GDP, employment level, and exports. To achieve its objectives, EDIH-DIGIMAT proposes a comprehensive, structured program for digitalization of manufacturing companies, starting by raising the awareness, continued education of the companies’ staff, providing advisory and consultancy services to the respective company management levels, through experimenting with the companies at the test rigs. EDIH-DIGIMAT’s consortium builds on a successful first operational DIH in the country – DIGIMAT. It consists of four partners: INTEMAC as a lead partner with its footprint in digital consultancy services, JIC with funding services and business consulting in general, Effectivity serving the industry on their productivity growth journey, and BUT as the largest technology university in the country with a wide spectrum of technical expertise and a wide network of industry partners. To elevate the services offered, the EDIH-DIGIMAT engaged multiple clusters and partner organizations, both domestically and abroad. The array of partners includes also technology providers, domestic as well as foreign EDIH candidates. This approach has been designed to ensure relevance of provided services in time, as well as to increase the depth and breadth of provided services. The EDIH-DIGIMAT is going to be backed by a robust governance model to ensure the proposed plan is going to be executed for the benefit of the targeted manufacturing sector, and the society at large.</t>
  </si>
  <si>
    <t>Veronika Vecerova</t>
  </si>
  <si>
    <t>Blanenska 1288/27, 664 34 Kurim, Czechia</t>
  </si>
  <si>
    <t>https://www.edih-digimat.cz/</t>
  </si>
  <si>
    <t>manufacturing and processing, automotive, construction assembly, energy, environment, metal working and industrial production, polymers and plastics</t>
  </si>
  <si>
    <t>circular economy, ecosystem building, innovation management, knowledge transfer, prototyping, sme support, technological innovation, technology transfer, vocational training</t>
  </si>
  <si>
    <t>additive manufacturing, artificial intelligence decision support, digital twins, internet of things, cyberphysical systems, robotics, sensors vision processing systems</t>
  </si>
  <si>
    <t>Digital Hub Logistics Dortmund as European Digital Innovation Hub</t>
  </si>
  <si>
    <t>The aim of the Digital Hub Logistics Dortmund as EDIHDO is to increase the dissemination, acceptance and adoption of digital technologies and their successful application for the development of product, process and business model innovations by SMEs. To this end, EDIHDO offers support formats and services in the categories Test before Invest, Skills &amp; Training, Investment Search Support and Innovation Ecosystem &amp; Networking. EDIHDO is supported by Fraunhofer IML and TU Dortmund as competence centres, Digital Hub Management as orchestrator and finally TZNet, a subsidiary of the City of Dortmund, and WFG Kreis Unna, a subsidiary of the district of Unna, as multipliers. EDIHDO focuses on the application area of logistics, manufacturing and production. In the area of digitalisation, the technological focal points include artificial intelligence, high-performance computing, the Internet of Things, blockchain, sovereign data exchange and cyber-physical systems, based on the needs of companies in the region, the potential in the application area and the competences of the consortium partners. Since the successful use of digital technologies in innovative products, processes and business models requires above all the digital competences of the employees, EDIHDO also places a special focus on offers in the area of digital further qualification. In the area of cyber security, which also plays an important role in the acceptance and implementation of digital technologies, EDIHDO acts as an intermediary to the existing competence centres in the region. Further technology competences can be brought in through cross-border cooperation and exchange in the EDIH network. In this way, SMEs and SMEs in the region can be comprehensively supported in the digital transformation, the strengthening of competitiveness can be ensured and thus the regional economic competitiveness and future viability can be secured.</t>
  </si>
  <si>
    <t>Maria Beck</t>
  </si>
  <si>
    <t>Emil-Figge-Straße 80, 44227 Dortmund, Germany</t>
  </si>
  <si>
    <t>https://edih-do.eu/en/</t>
  </si>
  <si>
    <t>manufacturing and processing, metal working and industrial production, automotive, transport mobility, communityled local development, smart city, real estate, retail, wholesale or distribution, cultural and creative economy, personal services</t>
  </si>
  <si>
    <t>sme support, ecosystem building, innovation management, knowledge transfer, regional development, prototyping, vocational training, sme business development, technological innovation, technology transfer, field trial, finance, circular economy, smart specialisation strategies</t>
  </si>
  <si>
    <t>logistics, artificial intelligence decision support, big data, digital twins, internet of things, additive manufacturing, cyberphysical systems, robotics, blockchain and distributed ledger technology dlt, cloud services, cybersecurity, gamification</t>
  </si>
  <si>
    <t>Development of AI – ICT for Manufacturing EDIH in Latvia</t>
  </si>
  <si>
    <t>LDIH unites Latvia’s leading research and technology organizations that are well-positioned to deliver technological and expert services. Based on a field of specialization, key enabling technologies under this category are AI and robotic solutions for manufacturing and business process automation. An Applied AI Knowledge Centre will be established to create an environment for detailed internal and external business process research. The purpose of the AI Centre Lab will be to demonstrate and model for businesses the advantages of implementing AI solutions in production processes tailored to their business model. In terms of community impact, the centre aims to increase accessibility to digital guidance and infrastructure in a local perspective, making it a matchmaking platform for scientists and businesses. The centre will provide the virtual and physical infrastructure for events and content creation. On a larger scale, the foundation of the centre will serve as an entity that holds knowledge and executes national-level digital transformation. Furthermore, it will connect the local digital ecosystem to the European digital network community and tap into the global AI community. LDIH will facilitate awareness in municipalities of the benefits of digitalisation in sustainable development and work towards an improved business environment in regions. This will be achieved by sharing best practice cases on implementing measures to facilitate the uptake of digital technologies, consequently improving the business environment and providing training and courses for Latvian municipality employees to raise awareness regarding the opportunities and impact that digitalisation can bring to local communities as well as skills improvement to mainstream the use of e-governance tools.</t>
  </si>
  <si>
    <t>Latvia</t>
  </si>
  <si>
    <t>Ilze Raudina</t>
  </si>
  <si>
    <t>Skolas iela 11, Riga, LV-1010, Latvia</t>
  </si>
  <si>
    <t>https://dih.lv/lv</t>
  </si>
  <si>
    <t>manufacturing and processing, transport mobility, smart city, metal working and industrial production, food and beverages, energy, education, automotive, agricultural biotechnology and food biotechnology</t>
  </si>
  <si>
    <t>ecosystem building, regional development, sme business development, sme support, technological innovation, technology transfer, smart specialisation strategies</t>
  </si>
  <si>
    <t>artificial intelligence decision support, big data, cloud services, communication network, cybersecurity, digital twins, high performance computing, internet of things, internet services applications, mobility, quantum technologies computingcommunication, robotics, sensors vision processing systems, virtual reality</t>
  </si>
  <si>
    <t>EDIH Odense for deployment of collaborative robots (cobots) in many domains especially manufacturing and logistics</t>
  </si>
  <si>
    <t>Aim: The purpose of EDOcobot is to improve robot skills and increase the deployment of useful collaborative robots (cobots) in SMEs and small mid-caps and thereby support production in Denmark and Europe, supporting DIGITAL objectives. Method: We categorised end users according to their robot experience and general digital skills and have designed a set of services that cover the whole continuum. As experienced companies are already aware of many options and opportunities, our services focus particularly on beginner SMEs. Beginners are introduced to the variety of cobot systems and led to discover which would work best for them, how their factory needs to be reorganised for the cobot, and how this investment can be funded. “Robot-ready” SMEs are encouraged to deploy more cobots, also in other types of application, and to train more of their staff to operate and program cobots. “Innovator” SMEs are taught how to optimize the way they use cobots and are introduced to tech suppliers, while “Front-runners” are matched with tech developers (and perhaps research calls) so that their end-user challenge can contribute to the future direction of the tech. Expected results: All our customers develop a deeper understanding of cobots and how to use them to best advantage, increasing their hands-on digital skills. They also gain better knowledge of funding opportunities and interact with the wider robot ecosystem. More cobots are deployed in various industrial sectors, including those where robot penetration is traditionally low. Mitigation of the shortage of skilled labour, reduction in workplace injuries, more reliable product quality, less waste. Relevance to the call: Increasing the robot awareness and skills of “beginners” will have great impact on the overall digital skills of European SMEs. Improving European productivity will reduce our reliance on foreign supply chains. Cobots are an accelerating market, so the EDIH network needs a node with a pure cobot focus.</t>
  </si>
  <si>
    <t>Denmark</t>
  </si>
  <si>
    <t>Lars Kristensen</t>
  </si>
  <si>
    <t>Munkebjergvænget 1, 5230 Odense M, Denmark</t>
  </si>
  <si>
    <t>manufacturing and processing, public administration, metal working and industrial production</t>
  </si>
  <si>
    <t>innovation management, knowledge transfer, prototyping, sme support, technological innovation</t>
  </si>
  <si>
    <t>robotics, logistics, artificial intelligence decision support, mobility, sensors vision processing systems</t>
  </si>
  <si>
    <t>Flanders Artificial Intelligence European Digital Innovation Hub</t>
  </si>
  <si>
    <t>Given the technology potential of AI, there is an urgency to accelerate the adoption of AI by SMEs and other organisations.
The Flanders AI EDIH intents to accelerate the adoption of AI among by an integrated service offering:
(1.) Test before invest: initial advice, individual coaching, AI technical feasibility study, legal workshops and our special co-operation with commercial AI agencies, called "Start AI"
(2.) Skills and training: inspiration sessions, thematic webinars &amp; events, masterclasses and summer schools
(3.) Innovation ecosystem and networking: talent &amp; skills matchmaking, matchmaking on AI supply &amp; demand, matchmaking on joint research and our large annual AI event called "Flanders AI Forum" (next edition: spring 2024).
The Flanders AI EDIH strengthens the Flemish Industry Partnership (Industriepartnerschap), the Flanders AI Academy (VAIA) and the Knowledge Center Data &amp; Society (Kenniscentrum Data &amp; Maatschappij).
The Flanders AI EDIH consists of complementary partners who guarantee a cross-sectoral and accessible Flemish operation, with a local physical presence in every Flemish province. Additionally, the EDIH is aligned and maintains direct links with existing innovation actors and initiatives (such as the spearhead clusters), the Flemish AI policy plan, the Flanders AI Research Program and Enterprise Europe Network (EEN) Flanders. At European level, the Flanders AI EDIH has ongoing collaborations through the AI DIH Network, the Smart Connectivity DIH Network (SCoDIHNet), the EPoSS Smart Systems EDIH Task Force, the Vanguard AI Pilot.</t>
  </si>
  <si>
    <t>Belgium</t>
  </si>
  <si>
    <t>Gilles Wuyts</t>
  </si>
  <si>
    <t>Kapeldreef 75, 3001 Leuven, Belgium</t>
  </si>
  <si>
    <t>https://flandersaihub.eu/</t>
  </si>
  <si>
    <t>manufacturing and processing, transport mobility, textiles</t>
  </si>
  <si>
    <t>technological innovation, ecosystem building, sme support</t>
  </si>
  <si>
    <t>artificial intelligence decision support, big data, digital twins</t>
  </si>
  <si>
    <t>European Digital Innovation Hub Saarland</t>
  </si>
  <si>
    <t>EDIH Saarland is the digital innovation catalyst and integrator serving the needs of structural transformation in Saarland, the Federal State (Land) of Germany, by offering to regional SME’s, mid-caps and public sector entities a comprehensive service portfolio with the focus on Artificial Intelligence and other key enabling technologies. EDIH Saarland addresses essential regional innovation needs of green and digital transition, builds upon and makes a major contribution to the implementation of the regional innovation strategy and, at the same time, opens up its services to the entire EDIH network, thus putting the regional innovation strategy into the European context. The EDIH Saarland specialization in Industrial AI and AI for eGovernment is based on the significant and relevant testing and experimentation facilities, professional community of experts and regional innovation infrastructure. EDIH Saarland builds on existing partnership and various ongoing activities providing coordination and triggering a synergy effect. As an innovation broker, EDIH Saarland will facilitate and support the collaborative ecosystem including major research/innovation stakeholders with outstanding competences in the focus area, and local industrial and public sector organizations in need for digital transformation. The Hub’s work plan includes the set of activities aimed at making the EDIH Saarland’s service portfolio available for other EDIHs with the focus on further integration within the Greater Region and sectoral specialization (e.g. automotive industries). The EDIH Saarland consortium brings together the major regional RTD and innovation players, has established the privileged relations with the Saarland’s Government and other stakeholders, such as industrial clusters, research and education performers, business incubators etc., and, therefore, has ensured sustainable and lasting foundation for its operation.</t>
  </si>
  <si>
    <t>Attique Bashir</t>
  </si>
  <si>
    <t>Eschberger Weg 46, Gewerbepark Geb. 9, 66121 Saarbrücken, Germany</t>
  </si>
  <si>
    <t>https://edih-saarland.de/</t>
  </si>
  <si>
    <t>manufacturing and processing, automotive, retail, wholesale or distribution, metal working and industrial production</t>
  </si>
  <si>
    <t>sme support, technology transfer, knowledge transfer, prototyping, technological innovation</t>
  </si>
  <si>
    <t>artificial intelligence decision support, cyberphysical systems, human computer interaction, robotics, cybersecurity, digital twins, big data, sensors vision processing systems, simulation engineering and modelling, virtual reality</t>
  </si>
  <si>
    <t>MicroCyber</t>
  </si>
  <si>
    <t>The MicroCyber EDIH aims at establishing a set of services and infrastructures focusing on cybersecurity, to be offered to Micro and Small, and enterprises (MSE) in the South of Italy while also supporting public entities – both local and central – in understanding their cybersecurity needs. 
MSEs in the South of Italy need to improve their cybersecurity awareness and preparedness, as a key enabler for operating and thriving in the digital economy. Still, these MSEs are often unable to face the costs for accessing resources needed to improve their cyber-preparedness and are not able to find training and capacity building programs tailored to their needs and resources availability.
To respond to these needs, MicroCyber offers a diversified set of services devoted to its target groups, including assessment of digital and cyber maturity and relevant needs, cyber-range activities to explore and test cybersecurity scenarios and solutions, personalised skills and training activities, networking, also via the involvement in ecosystems and events, as well as support services to access microfinance tools and other financial resources, which the MicroCyber EDIH is perfectly positioned to deliver leveraging the unique expertise of its Coordinator, Ente Nazionale per il Microcredito (ENM).
At the same time, the MicroCyber can build on the unique combination of expertise available within its consortium, with public entities, universities, large SMEs associations, research consortia, private consultancy companies, all equally committed to deliver the highest quality in services, while offering networking and collaboration with the best digital expertises in Europe, via other EDIHs, the Digital Transformation Accelerator, and a variety of other networks in the digital domain available at the local and national level.</t>
  </si>
  <si>
    <t>Giovanni Nicola Pes</t>
  </si>
  <si>
    <t>Via vittoria colonna 1, 00193 Roma RM, Italy</t>
  </si>
  <si>
    <t>https://www.microcyber.eu/2025/</t>
  </si>
  <si>
    <t>manufacturing and processing, communityled local development, consumer products, financial, public administration, retail, wholesale or distribution</t>
  </si>
  <si>
    <t>sme support, knowledge transfer, technology transfer, technological innovation, ecosystem building</t>
  </si>
  <si>
    <t>cybersecurity, internet services applications</t>
  </si>
  <si>
    <t>Pomeranian Digital Innovation Hub</t>
  </si>
  <si>
    <t>Thanks to the project implementation, Pomeranian Digital Innovation Hub, which was selected by the Ministry of Development and Technology in the pre-selection, will be created. It will be managed by the consortium consisting of the Coordinator (COO), 20 Beneficiaries (BEN) and 11 Associated Partners (AP). Consortium will be coordinated by Pomeranian Special Economic Zone and Gdansk Science and Technology Park due to their important role in the local and regional ecosystem of innovation and entrepreneurship, and will be represented by entities with necessary expertise, experience, and required resources, which will allow successfully accomplish projects goals, tasks and activities. PDIH will act as one stop shop supporting mainly local SMEs, small mid-caps and public sector organizations with their digital and green transformation. PDIH will offer its clients the complete set of the following services: 1) Skills and training; 2) Test before invest; 3) Support to find investments; 4) Innovation ecosystem and networking. Its offer is a wide, yet well-thought-out and tailored to the identified needs of customers, catalogue of services (81 categories), which allows for the implementation of digital and green transformation. PDIH clients will gain access to new skills, technological and investment consulting, practical trainings, as well as access to the innovation ecosystem around PDIH allowing them to establish business relationships in the country and in the whole Europe, which will allow them to increase their competitiveness in the field of their operations by implementing digital solutions of the Industry 4.0. A significant part of the project in addition to the implementation of specialized services is networking and matchmaking activities. PDIH will be active in networking with other representatives of local, regional, national and European innovative ecosystem.</t>
  </si>
  <si>
    <t>Marta Szalecka</t>
  </si>
  <si>
    <t>Ul. Trzy Lipy 3 bud.B IV p., 80-172 Gdansk, Poland</t>
  </si>
  <si>
    <t>manufacturing and processing, maritime, public administration, telecommunications</t>
  </si>
  <si>
    <t>sme support, ecosystem building, technological innovation</t>
  </si>
  <si>
    <t>artificial intelligence decision support, big data, cloud services, communication network, cybersecurity, digital twins, high performance computing, internet services applications, virtual reality, internet of things, locationbased applications, simulation engineering and modelling</t>
  </si>
  <si>
    <t>Innovation Hub for Smart Polymers and Digital Technologies</t>
  </si>
  <si>
    <t>Polytronics is dedicated to supporting SMEs in their digital transition, in respect of Artificial Intelligence (AI), with a focus on the polymer industry: plastics, textiles, elastomers &amp; rubbers, composites. Indeed, these industries are often traditional and conservative (notably in the textile sector with quite often production machines lacking mere sensors) yet suffer from the lack of data exploitation even though their manufacturing lines may be equipped with sensors. Polytronics aims to help companies in the polymers industry in their digital maturity by leveraging the use of Artificial Intelligence (AI) based on exploitable data from their products and manufacturing processes. Polytronics gathers 7 specialists in AI, robotics, data management and exploitation, 3 partners specialised in sensors integration, 2 partners specialised in mechatronics to support proofs of concept in industry, 5 technical centers specialised in targeted polymer sectors, and 2 innovation clusters. Experts in polymers will support AI experts in understanding and adapting the needs and pain point of the SMEs in the polymer industry. Therefore, SMEs will benefit from the crossed expertise to facilitate the implementation of AI in their business, without negative disruption of their business. Polytronics dedicate 70% of its budget, 3.3M€ over 3 years to the provision of services to SMEs. Besides this core activity, Polytronics partners will merge and update its website and two key platform, a marketplace and a knowledge management platform, to implement a web portal which will be the one-stop-shop for SMEs, therefore facilitating their access and user journey. This web portal will allow notably gathering data and indicators to feed the DTA with the digital maturity evolution of the polymer sector targeted by Polytronics. Finally, clustering activities, communication and dissemination will allow implicating Polytronics in the whole EDIH network.</t>
  </si>
  <si>
    <t>Adèle Seguin</t>
  </si>
  <si>
    <t>180 rue pierre et marie curie maison des entreprises, 01115 Bellignat, France</t>
  </si>
  <si>
    <t>https://polytronics.eu/</t>
  </si>
  <si>
    <t>manufacturing and processing, polymers and plastics, textiles, nmp nonmetallic materials basic processes</t>
  </si>
  <si>
    <t>circular economy, prototyping, ecosystem building, sme support, technological innovation</t>
  </si>
  <si>
    <t>artificial intelligence decision support, additive manufacturing, chemical engineering plants, products, laserbased manufacturing and materials processing, sensors vision processing systems</t>
  </si>
  <si>
    <t>PRODUTECH DIH</t>
  </si>
  <si>
    <t>As European Digital Innovation Hub, PRODUTECH DIH has the mission to promote the digitalisation of the manufacturing industry, through a consistent and coherent dual intervention directed to both production technologies and manufacturing sectors, leveraging the role that production technologies assume in the digital and green transformation of the several sectors of the manufacturing industry. Gathering a critical mass of unique capacities, infrastructures, competencies, capabilities and associated services, and having a solid relational capital with the ecosystem of stakeholders, a track record of European intervention and of corridors with other EDIHs, PRODUTECH DIH articulates, provides and makes available to the industry, and pertinent stakeholders, a coherent set of support services within the 4 main functions attributed to European Digital Innovation Hubs: Test before invest, Skills and training, Support to find investments and Dynamization of the innovation ecosystem and networking. PRODUTECH DIH is a consortium of 19 organizations, gathering the Portuguese cluster of production technologies for manufacturing, a science park/incubator, industry’s sector-oriented technology centers, research and technology organizations and higher education and vocational training organizations, with multiple locations across Portugal, acting as multipliers of digital capacities and as access points to the hub, to the European Network of DIHs, pertinent stakeholders, such as Enterprise Europe Network, and initiatives, and providing key support services, within the domains foreseen by the Digital Europe Programme, towards the digital and green transformation of the industry. PRODUTECH DIH delivers a solid unique value proposition: (1) consistent consortium towards the digital and green transformation of the industry, (2) European intervention capacity and ambition and (3) a strategic synergic intervention Local-Regional-National-European.</t>
  </si>
  <si>
    <t>Pedro Miguel ROCHA</t>
  </si>
  <si>
    <t>Rua dos Platanos 197, 4100-414 Porto, Portugal</t>
  </si>
  <si>
    <t>https://dih.produtech.org/en</t>
  </si>
  <si>
    <t>manufacturing and processing, metal working and industrial production, aeronautics, automotive, construction assembly, consumer products, defence, education, energy, electricity, energy, energy, fuels and petroleum engineering, environment, financial, food and beverages, leather, maritime, nmp nonmetallic materials basic processes, paper and wood, polymers and plastics, public administration, retail, wholesale or distribution, security, telecommunications, textiles, tobacco, transport mobility, transport sector</t>
  </si>
  <si>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</si>
  <si>
    <t>artificial intelligence decision support, high performance computing, cybersecurity, additive manufacturing, big data, blockchain and distributed ledger technology dlt, chemical engineering plants, products, cloud services, communication network, cyberphysical systems, digital twins, displays, gamification,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</si>
  <si>
    <t>Smart, Resilient and Sustainable Communities – European Digital Innovation Hub</t>
  </si>
  <si>
    <t>Smart, Resilient and Sustainable Communities – European Digital Innovation Hub The SRC-EDIH will support state and local governments and SMEs in testing products, solutions, and components in a real environment and upgrading their digital processes and the associated business models while aligning the growth opportunities with the Sustainable Development Goals. Our vision is to become a leading EDIH in Southeast Europe, contributing to fostered digitalization of manufacturing SMEs and digital transformation of public administration through advanced digital technologies by considering the economic, environmental, and social development pillars. Through advanced interaction with national and European DIHs, SRC-EDIH will bring awareness of the importance of digital transformation for sustainable growth and serve as a one-stop point of know-how, guidelines, and support to increase digitalization in governmental and industrial institutions. In addition, SRC-EDIH will provide access to prototyping and test environments to accelerate the adoption of new digital technologies and skills and advance the current digital solutions. Moreover, it will provide (i) support for building an industrial ecosystem of firms with broad expertise in different fields that offer complementary services or products through conferences, events, and workshops; (ii) and support for access to European and national public and private funding to strength the firms’ capacity of introducing digital innovation and I increasing their competitiveness.</t>
  </si>
  <si>
    <t>Slovenia</t>
  </si>
  <si>
    <t>Vesna Čolič</t>
  </si>
  <si>
    <t>Podbreznik 15, 8000 Novo mesto, Slovenia</t>
  </si>
  <si>
    <t>manufacturing and processing, automotive, environment, public administration, education</t>
  </si>
  <si>
    <t>circular economy, technology transfer, prototyping, public sector innovation, sme support, vocational training</t>
  </si>
  <si>
    <t>high performance computing, artificial intelligence decision support, cybersecurity, robotics, blockchain and distributed ledger technology dlt</t>
  </si>
  <si>
    <t>Swedish network for Sustainable Digitalisation and Human-Centric Factory Transformation</t>
  </si>
  <si>
    <t>The objective of the Swedish EDIH for smart manufacturing industries, Swedish network for Sustainable Digitalisation and Human-Centric Factory Transformation (ShiftLabs) is to strengthen, generate and promote services targeted at manufacturing SMEs that support their digital transformation and work towards sustainable manufacturing industries. The proposed EDIH is based on a national hub with regional nodes. The consortium supports a structure of regional nodes with a comprehensive offer of services to SMEs. Each regional node follows the template of a “one stop shop”, a single point of contact with verified experience and expertise in supporting SMEs, paired with an academic partner that has relevant state-of-the-art production research as well as training and education for professionals in the field. Each node also maintains a local network of relevant collaboration partners to ensure the supply of applicable services, for example through local science parks. The nodes are supported cross-sectionally by core partners with wide and specific expertise in digital technologies, as well as testbeds, data centres, and facilities to support SMEs with their individual needs related to, for example, artificial intelligence, cyber security, industry 4.0 related technologies, and HPC. The hub partners already maintain a strong European connection, with several of them already being fully operational Digital Innovation Hubs. The strong national and European integration ensures that the ShiftLabs will be a valuable resource for the manufacturing SMEs, as well as an effective partner in the European network of EDIHs. To ensure the relevance of the hub, the proposal has letters of support from the involved Regions (Region Västmanland, Region Sörmland, Västra Götalandsregionen, Region Stockholm), Produktion2030 (national funding programme for production research), the Scandinavian Automotive Supplier Association (FKG), IUC (industrial development center), and ALMI.</t>
  </si>
  <si>
    <t>Sweden</t>
  </si>
  <si>
    <t>Johan KOSTELA</t>
  </si>
  <si>
    <t>Hogskoleplan 1, 721 23 Vasteraas, Sweden</t>
  </si>
  <si>
    <t>https://shiftlabs.eu/</t>
  </si>
  <si>
    <t>manufacturing and processing, automotive, metal working and industrial production</t>
  </si>
  <si>
    <t>technological innovation, technology transfer, sme support, circular economy</t>
  </si>
  <si>
    <t>additive manufacturing, artificial intelligence decision support, cyberphysical systems, digital twins, human computer interaction, internet of things, robotics, sensors vision processing systems, simulation engineering and modelling</t>
  </si>
  <si>
    <t>Transilvania Digital Innovation Hub</t>
  </si>
  <si>
    <t>The European Digital Innovation Hub in Transilvania (TEDIHT) aims to address industry and societal challenges through innovation driven by digital technologies. We use cutting edge technologies like AI, HPC and Big Data to enable digital transformation processes, provide green/sustainable solutions that improve productivity, competitiveness, growth, and wellbeing at regional, national, EU, and international levels. 
TEDIHT's general objective is to provide a complete set of digital transformation and innovation services for (1) SMEs and (2) public sector organisations (PSOs) conducting non-economic activities from the NW region of Romania and, through the EDIH network, at EU level. 
TEDIHT’s primary specialisation and services use AI, HPC and Big Data to support the green and digital transformation of SMEs and PSOs in the fields of Digital Health and Industry 4.0, leading to economic development, competitiveness and societal progress. 
TEDIHT is based on a 3-phase process: Understand &gt; Innovate &gt; Scale, and 2 alternative Client Journeys (Minimal and Optimal) through which we will provide significant innovation and digital transformation services, worth up to 100K EUR, to 87 SMEs and/or PSOs primarily from Digital Health and Industry4.0 sectors, over a 3-year period, from a 10x pool (870 beneficiaries) engaged in our innovation ecosystem’s services. 
TDIH’s offers a customised service list adapted to the challenges and needs of beneficiaries from NW region of Romania, validated in several EU projects, covering the 4 functionalities of a digital innovation hub: (1) networking and ecosystem building, (2) test before invest, (3) skills and training and (4) support to find investment. 
TDIH consortium convenes a regional innovation ecosystem orchestrated by Transilvania IT Cluster, the 3 main universities in the region UBB, UTCN and UMF, a national research institute – INCDTIM - and an industry liaison office, OLI Hygia.</t>
  </si>
  <si>
    <t>Bianca Muntean</t>
  </si>
  <si>
    <t>Str. Constantin Brâncuși nr. 55-57-59, 400458 Cluj-Napoca, Romania</t>
  </si>
  <si>
    <t>manufacturing and processing, health care, energy, agricultural biotechnology and food biotechnology, smart city</t>
  </si>
  <si>
    <t>technological innovation, ecosystem building, innovation management, prototyping, finance, sme business development</t>
  </si>
  <si>
    <t>artificial intelligence decision support, high performance computing, cybersecurity, quantum technologies computingcommunication, software architectures, robotics, internet of things, big data</t>
  </si>
  <si>
    <t>Umbria Digital Data</t>
  </si>
  <si>
    <t>UDD aims at accompanying Small and Medium Enterprises (SMEs) and Public Administrations (PAs) towards the advanced digital transition in the Umbria region. Through its services, centered on the three main digital technologies (Artificial Intelligence - AI; High Performance Computing - HPC; Cybersecurity), UDD intends to cover some specific areas, such as manufacturing, energy, and life science with a significant impact on the strategic sectors of commerce and tourism. UDD has a multi-sector focus and it targets on PAs and SMEs that have an organizational structure suitable to digitization procedures. The objective is to enhance the regional specific characteristics while joining the European EDIH Network in order to increase exchange opportunities providing businesses and PAs with the widest range of digital services and advice. UDD main goals towards SMEs and PAs are: The development and the implementation of AI capabilities; The development and the implementation of HPC competences; The acquisition of digital competences in Cybersecurity and advanced technologies; A greater awareness about sustainability and the ethical use of AI. UDD will work mainly on some specific focused areas, as: • Machine learning: AI applied to industry, Blockchain; Data Analytics and HPC; • Advanced manufacturing for the innovation of products and industrial procedures; • Life science technologies, also concerning emergency management; • Advanced materials and nano-materials employed in innovative business activities in the regional territory; • IoT, Automation, Embedded Systems; • Green Economy, Energetic Efficiency, Logistics and resources management. UDD includes 13 partners: 5 research and technological transfer institutes (among which there are the University of Perugia and The National Institute of Nuclear Physics that are the main UDD technical partners), 4 trade associations, 2 regional agencies, a Digital Innovation Hub and an Institute for Higher Technical Training.</t>
  </si>
  <si>
    <t>Luca Angelini</t>
  </si>
  <si>
    <t>Via palermo 80/a, 06124 Perugia PG, Italy</t>
  </si>
  <si>
    <t>manufacturing and processing, health care, travel and tourism, communityled local development, cultural and creative economy, smart city</t>
  </si>
  <si>
    <t>ecosystem building, innovation management, technology transfer, sme support</t>
  </si>
  <si>
    <t>artificial intelligence decision support, cybersecurity, high performance computing, big data, blockchain and distributed ledger technology dlt, digital twins, internet of things</t>
  </si>
  <si>
    <t>WalHub, to boost the digital transformation of  manufacturing companies and the adoption of  key technologies - i.e. AI, HPC, Cybersecurity and IoT - in their industrial and supply chain processes</t>
  </si>
  <si>
    <t>Lying at the heart of Europe, Wallonia (the French-speaking region of Belgium) economic history is closely linked to the role of industry, with a strong industrial past in machinery manufacturing and metallurgy. Today, manufacturing is still the driving force behind Wallonia's exports and prosperity. Nevertheless, the foundations of the manufacturing industry need to be considerably strengthened in order to increase technological excellence as well as to facilitate the green and digital transition of the region. WalHub, the regional EDIH, will boost the Walloon manufacturing business helping them to tackle challenges linked to customer expectations by accelerating or enhancing their digital maturity, through experimentation of key technologies (e.g. AI, HPC, CS and IoT), training and upskilling workers to meet the market needs, attracting investments, linking them to the Walloon ecosystem to ease implementation of digital technologies in their production processes and supply chain. Finally, WalHub will connect with the network of EDIHs by offering its services to SMEs from other regions across Europe and will actively engage with other EDIHs to respond promptly to the digital needs of Walloon manufacturing businesses. To support Walloon manufacturing business to achieve greater competitiveness and sustainability at regional level, WalHub, brings together a consortium of complementary and experienced partners that will provide a comprehensive set of services aiming at accelerating the green and digital transformation of industrial and supply chain processes. WalHub is led by the industry and technology federation (Agoria) and involve 2 clusters active in Manufacturing and Transport and Logistics (MecaTech and Logistics in Wallonia), 4 research and competence centers (Sirris, Cenaero, Cetic, Multitel) and an economic development partner (IDELUX). In this project, WalHub also benefits from the support of the Walloon Digital Agency (Agence du Numérique).</t>
  </si>
  <si>
    <t>Emilie Parthoens</t>
  </si>
  <si>
    <t>A. Reyers 80 diamant building, 1030 Bruxelles, Belgium</t>
  </si>
  <si>
    <t>http://www.walhub.be</t>
  </si>
  <si>
    <t>manufacturing and processing, agricultural biotechnology and food biotechnology, health care, polymers and plastics, aeronautics, space, paper and wood, construction assembly</t>
  </si>
  <si>
    <t>technological innovation, ecosystem building, knowledge transfer, prototyping, circular economy, finance</t>
  </si>
  <si>
    <t>internet of things, artificial intelligence decision support, cybersecurity, high performance computing</t>
  </si>
  <si>
    <t>Innovation for Competitiveness and Advance Manufacturing</t>
  </si>
  <si>
    <t>i4CAMHUB has been an EDIH since 2017, is a part of DIHNET, has signed agreements with other EDIH to provide services together, and yet there is still place to grow and become more of a reference in the region, in its main fields of work which are the sectors of agrifood and metal manufacturing, and AI as technology (in a second level, also cybersecurity, HPC, AR/VR, human-machine interaction and others).
To do this, this project is focused on developing and establishing relevant activities-services, mainly for SMEs, scaleups, startups, entrepreneurs, but also for the general population.
The first set of activities include three work packages: 2, 4 and 5, focused respectively on: 
- TEST BEFORE INVEST solutions that allow entities or entrepreneurs to investigate how relevant technological solutions would fit their current lines of work or new lines they want to develop without having to make the investment beforehand;S
- Facilitating FUNDING FOR DIGITALIZATION or to TO START-UP BUSINESSES OR LINES OF WORK; 
- NETWORKING SOLUTION, facilitating spaces from where to work or events to get to know possible partners interested in applying the solutions developed by users, in getting together to develop new ones or who can provide them with technology they are needing.
The second one (WP3) is focused on training: 
- Different COURSES, WEBINARS, INFO-DAYS and WORKSHOPS will be offered to diverse target groups including active population, students, unemployed people and people in risk of social exclusion with the intention of improving their chances to get relevant employments and improve their general situation.
The fact that Castilla La Mancha includes large areas of rural space scarcely populated is taken into account and I4CAMHUB intends to facilitate access to these resources also in those areas. I4CAMHUB also has a relevant intent to actively engage with other EDIHs to maximise its reach and improve the general position of Castilla La Mancha in the general European scope.</t>
  </si>
  <si>
    <t>Cristina Conejo</t>
  </si>
  <si>
    <t>Ctra Pedro Munoz km1 PC. 51, 13700 TOMELLOSO Ciudad Real, Spain</t>
  </si>
  <si>
    <t>https://www.i4camhub.com/es/home</t>
  </si>
  <si>
    <t>manufacturing and processing, metal working and industrial production, energy, energy, fuels and petroleum engineering, food and beverages, retail, wholesale or distribution, smart city, environment, construction assembly, nmp nonmetallic materials basic processes, communityled local development, automotive, transport mobility, consumer products, telecommunications, transport sector, defence, polymers and plastics, textiles, aeronautics, agricultural biotechnology and food biotechnology, space, personal services, travel and tourism</t>
  </si>
  <si>
    <t>prototyping, technological innovation, technology transfer, regional development, innovation management, knowledge transfer, smart specialisation strategies, sme business development, sme support</t>
  </si>
  <si>
    <t>artificial intelligence decision support, big data, simulation engineering and modelling, virtual reality, robotics, digital twins, sensors vision processing systems, locationbased applications, internet of things, cybersecurity, logistics, additive manufacturing, laserbased manufacturing and materials processing, cloud services, high performance computing, quantum technologies computingcommunication</t>
  </si>
  <si>
    <t>AI driven digital transformation of SMEs - towards Industry 5.0 production processes</t>
  </si>
  <si>
    <t>The EDIH AI5production has a regional focus to the north-east of Austria and mainly addresses manufacturing SMEs and mid-caps in Austria. The overall objective of the EDIH AI5production is to consolidate the Industry 4.0 maturity of SMEs and mid-caps in the region and transfer them to Industry 5.0 companies by providing all four foreseen service pillars of an EDIH. This will be achieved by offering established test before invest infrastructure and excellent services and support in the areas: Artificial Intelligence, Design, Digital Production, and Cybersecurity. This is possible due to an experienced consortium. 2 pilot factories are at the front: Pilot Factory 4.0 from TU Wien and LIT Factory of Johannes Kepler University Linz. The whole consortium consists of 5 Competence Centers for Excellent Technologies, 3 Non-university research organization, 3 Universities, 2 industrial partners, 1 Business incubator and the Platform Industry 4.0 Austria and EIT Manufacturing East.</t>
  </si>
  <si>
    <t>Austria</t>
  </si>
  <si>
    <t>Franz Suemecz</t>
  </si>
  <si>
    <t>Karlsplatz 13, 1040 Wien, Austria</t>
  </si>
  <si>
    <t>manufacturing and processing</t>
  </si>
  <si>
    <t>ecosystem building, field trial, prototyping, finance, technological innovation, circular economy, sme support</t>
  </si>
  <si>
    <t>additive manufacturing, artificial intelligence decision support, cybersecurity, digital twins, robotics, virtual reality, sensors vision processing systems</t>
  </si>
  <si>
    <t>Robotics, Control and Decision Systems Digital Innovation Hub at the Cyprus University of Technology</t>
  </si>
  <si>
    <t>We are the Robotics, Control, and Decision Systems (RCDS) laboratory and Digital Innovation Hub (DIH) at the Cyprus University of Technology. We are the first robotics laboratory in Cyprus (established in 2011) Since then, we have developed externally funded activities worth more than 26 million euros. We engage in research, technology development, innovation, and commercialisation activities. The team has decades of combined robotics, technology, product development, and business experience in the US and Europe. We have worked with commercial entities of all sizes (start-ups to multinationals) as well as academia, government agencies and NGOs. Keywords: entrepreneurship, algorithm development, open software, open hardware, robotics, decision making, logistics</t>
  </si>
  <si>
    <t>Cyprus</t>
  </si>
  <si>
    <t>Associate Professor Savvas G. Loizou</t>
  </si>
  <si>
    <t>45 kitiou kyprianou street, dorothea bldg., office 507, 3041 Limassol, Cyprus</t>
  </si>
  <si>
    <t>https://www.rcdslab.org/</t>
  </si>
  <si>
    <t>manufacturing and processing, maritime</t>
  </si>
  <si>
    <t>circular economy, field trial, innovation management, knowledge transfer, prototyping, public sector innovation, sme support, technological innovation, technology transfer</t>
  </si>
  <si>
    <t>artificial intelligence decision support, big data, cyberphysical systems, digital twins, logistics, robotics, simulation engineering and modelling</t>
  </si>
  <si>
    <t>European Digital Innovation Hub Boosting Additive Manufacturing through Digital Services</t>
  </si>
  <si>
    <t>AM-EDIH is a European Digital Innovation Hub providing world-class services for boosting industrialisation of Additive Manufacturing ("AM") through digitalisation and thereby increasing sustainability and competitiveness of European manufacturing industry. The target clients of AM-EDIH, to which digital AM services will be provided, are 1) SMEs and small mid-caps being i) manufacturers, ii) product developers and iii) solution providers for the new value chains connected to the rapid digitalization of industry, among large enterprises and 2) Public healthcare sector and particularly university hospitals where advanced healthcare services are offered using AM. AM-EDIH has its basis in Western Sweden (Region of VästraGötaland, "RVG") where manufacturing industry constitutes almost half of the region's economy and where research and innovation, e.g. at Chalmers University of Technology ("Chalmers") and Research Institutes of Sweden ("RISE"), is heavily focused on digital manufacturing, and specifically so on digital AM. Moreover, the region's University Hospital (Sahlgrenska) is one of Sweden’s largest hospitals and a hub for strong innovation and clinic research activities, also in AM, in close and broad cooperation with academia, industry and patients. AM-EDIH will focus on developing RVG into a world-leading region for digital AM that can inspire and support other regions in Europe to adopt digital AM to increase sustainability and competitiveness. Through the Swedish regional network of 21 Industrial Development Centres it will also reach the target groups nation-wide. For AM-EDIH it will be very important to network with other EDIHs and EEN to reach other European regions and clients and exchange knowledge, competence, and good practises of digitalisation and thereby contribute to the digital transformation of the European manufacturing industry. RVG, being the 11th most innovative region in Europe (2021), has excellent conditions for achieving this.</t>
  </si>
  <si>
    <t>Lars Nyborg</t>
  </si>
  <si>
    <t>Chalmersplatsen 4, 412 96 Goteborg, Sweden</t>
  </si>
  <si>
    <t>sme support, knowledge transfer</t>
  </si>
  <si>
    <t>additive manufacturing</t>
  </si>
  <si>
    <t>CONNECT5</t>
  </si>
  <si>
    <t>CONNECT5 – DIH for Connectivity, CPS, IoT, Cloud/Edge and Data Analytics aims to create and operate a national and European reference DIH supporting the digital and green transformation of SMEs and public organizations. CONNECT5 is a collaborative network, in the form of a Consortium of 12 entities (RTO, polytechnic institutes, universities), with high level of expertise in digital technologies, state-of-the-art infrastructures and a deep nation-wide network of contacts (companies, business associations, public entities, etc.) bringing together their complementary expertise and assets, to create a unique value platform. CONNECT5’s will leverage on its capabilities based on Cyber-Physical Systems (CPS), Internet of Things (IoT), Communications networks (5G and 6G), infrastructures (Cloud and Edge Computing), Big Data platforms and analytical data processing, supported by Artificial Intelligence (AI), Cybersecurity and High-performance computing (HPC) when required, enabling the target entities to evaluate its impacts and the feasibility to their business before further investing in it. The services provided by CONNECT5 will be based on the definition of a digital transformation strategy identified in close cooperation with the user materialised on a strategic road map validated through the 4 main domains: i. Test before invest; ii. Skills and training; iii. Support to find investment; iv. Innovation ecosystem and networking. Included in the action plan is also the Digital Maturity Assessment, transformation proposal and acceleration with the DTA. CONNECT5 will provide a wide range of services that will enable any beneficiary to access the latest knowledge, expertise and technology with a special focus on the connectivity dimension for testing and experimenting digital innovation relevant to their activity, matching their needs with digital solutions already available or in an advanced phase of deployment. CONNECT5 expertise is reinforced by national projects like 5GO (focused on communication technologies), AUGMANITY (focused on I4.0) and CITYCATALYST (Focused on smart cities) among other activities (OASC, Gaia-X).</t>
  </si>
  <si>
    <t>Vasco Lagarto</t>
  </si>
  <si>
    <t>Campus universitario da universidade de aveiro, 3810-193 Aveiro, Portugal</t>
  </si>
  <si>
    <t>https://connect5.pt/</t>
  </si>
  <si>
    <t>manufacturing and processing, smart city, construction assembly</t>
  </si>
  <si>
    <t>sme support, ecosystem building, knowledge transfer, field trial, technology transfer</t>
  </si>
  <si>
    <t>big data, cyberphysical systems, communication network, cloud services, internet of things, digital twins</t>
  </si>
  <si>
    <t>IMPROVING THE COMPETITIVENESS OF SMEs AND PSOs IN THE SOUTH-EAST REGION OF BULGARIA THROUGH INTEGRATED INNOVATIVE DIGITAL SOLUTIONS</t>
  </si>
  <si>
    <t>The main objective of DIGIHUB is to support the digital transformation of SMEs and PSOs in the SouthEast region of Bulgaria by providing a wide range of services in the context of regional/municipal strategies aiming to boost the innovative potential of SMEs and to improve the digitalisation of public services deliveries. The DIGIHUB services are structured on four pillars, and are based upon an strong expertise of the entities involved in the Consortium with an special emphasis on the domains of AI, cybersecurity, big data, ICT and distributed ledger technologies, and with focus on the leading economic sectors of the SouthEast region (energy/health/transport/logistics/tourism). The target users of DIGIHUB services are: -the companies active in the leading economic sectors of the SouthEast region with the main target to reach at least 166 SMEs with test before invest and business advisory support, accompanying the most prominent 30 digital projects in the process of searching additional funding opportunities to implement digital transformation plans; -the municipalities of Burgas,Pomorie,Sliven, the state company "Port infrastructure" and the ILPB (Industrial and Logistic Parк-Burgas), and two universities, with the aim to support the digital transformation of public services deliveries and ensuring that DIGIHUB plays a key brokering role between local administrations and relevant companies providing e-government services and technologies. DIGIHUB organization is built upon a solid structure and consolidated expertise involving ICT Cluster Burgas, Burgas municipality, DINT Foundation, two universities (UNIAZ/BFU), together with the BAS-Burgas and AIBEST, offering an unique base to position DIGIHUB as the key EDIH in the SouthEast region of Bulgaria, and as the main window bridging technological complementarities with other EDIHs at national and international level, and supporting actively the DTA on its engine role for the monitoring of EDIHs services.</t>
  </si>
  <si>
    <t>Bulgaria</t>
  </si>
  <si>
    <t>Petko Georgiev</t>
  </si>
  <si>
    <t>28, Kniaz Alexander Batenberg St., 8000 Burgas, Bulgaria</t>
  </si>
  <si>
    <t>https://digihub.bg</t>
  </si>
  <si>
    <t>manufacturing and processing, construction assembly, cultural and creative economy, travel and tourism, automotive, maritime, smart city, education</t>
  </si>
  <si>
    <t>technological innovation, circular economy, ecosystem building, finance, innovation management, prototyping, public sector innovation, smart specialisation strategies, vocational training</t>
  </si>
  <si>
    <t>artificial intelligence decision support, digital twins, cloud services, data, blockchain and distributed ledger technology dlt, cybersecurity, internet services applications, logistics, virtual reality, mobility</t>
  </si>
  <si>
    <t>Regional Center for Digital Solutions and Innovation NCIZ</t>
  </si>
  <si>
    <t>This project proposal envisages the creation of a European Digital Innovation Hub by the name of Regional Center for Digital Solutions and Innovations NCIZ (RCDSI NCIZ) on the territory of Industrial Park Sofia-Bozhurishte. The project aims to construct innovative digital infrastructure supporting the digital transformation of the companies in the field, mostly SME and small mid-caps, as well as public sector organisations performing non-profit activities in view of increasing their competitiveness through assimilation and implementation of the Industry 4.0 paradigm. An innovative research infrastructure will be built to serve the area's investor companies as well as future entrepreneurs, researchers, innovators, scientists, citizens, local and regional administrations. The centerpiece of the center will be a virtual reality lab that will provide users with 3D laser visualization of buildings, machines and new products before launching them. This will also help to stimulate innovation and the introduction of new technologies, increase the technological potential for staff qualification. The implementation of the project will also increase the interaction and exchange of knowledge between scientific organizations, business business and the municipality.</t>
  </si>
  <si>
    <t>Dobrinka Vitcheva</t>
  </si>
  <si>
    <t>1, angel kanchev str., 1000 Sofia, Bulgaria</t>
  </si>
  <si>
    <t>manufacturing and processing, metal working and industrial production</t>
  </si>
  <si>
    <t>technological innovation, prototyping, sme support</t>
  </si>
  <si>
    <t>artificial intelligence decision support, digital twins, laserbased manufacturing and materials processing, simulation engineering and modelling, virtual reality</t>
  </si>
  <si>
    <t>ARTES 5.0 Restart Italy</t>
  </si>
  <si>
    <t>ARTES 5.0 - Restart Italy aims at a widespread nationwide adoption of digital technologies, with focus on Artificial Intelligence and Robotics, to nurture sustainable, human-centric and resilient value chains in line with the Digital Europe Programme. ARTES 5.0 will operate as a network of hub and spokes of highly qualified aggregations of competences and stakeholders, designed to transfer skills to Micro, Small and Medium Enterprises and to Public Administration. ARTES 5.0 will offer innovation services purposely designed to accelerate digital and ecological transition in different economic sectors such as health and quality of life, sustainable manufacturing, regeneration economy, creative and cultural industry. Special attention will be devoted to the crucial energy sector. ARTES 5.0 will also exploit technology to reduce the number and severity of accidents at work.ARTES 5.0 will be an access point for companies and PA to an interconnected innovation ecosystem of knowledge, skills, and infrastructures of excellence, distributed throughout the Italian territory and connected to several European EDIHs. ARTES 5.0 will offer users training, access to investments for innovation and advanced technical facilities for test-before-invest available in three Competence Centers (ARTES 4.0, MediTech and START 4.0) promoted and co-funded by the Italian government, to be further expanded within Digital Europe. ARTES 5.0 initiatives will be spread to users through a charter of services, designed to make the effects of innovation tangible in real business scenarios, overcoming cultural and geographical barriers. The Governance of ARTES 5.0 has been designed to achieve efficiency and effectiveness, while ensuring transparency and participation. In order to increase its impact from a local and national level to a broader European level, ARTES 5.0 has signed MoUs and LoIs with several EDIH proposals, sharing vision, strategy, and models, to strengthen initiatives, promote synergies</t>
  </si>
  <si>
    <t>Paolo Dario</t>
  </si>
  <si>
    <t>Viale Rinaldo Piaggio 34, 56025 Pontedera PI, Italy</t>
  </si>
  <si>
    <t>manufacturing and processing, health care, travel and tourism, cultural and creative economy, environment, financial</t>
  </si>
  <si>
    <t>circular economy, ecosystem building, innovation management, technology transfer</t>
  </si>
  <si>
    <t>artificial intelligence decision support, robotics</t>
  </si>
  <si>
    <t>EDIH Grand Est - Accelerate digitalisation of manufacturing sector in Grand Est</t>
  </si>
  <si>
    <t>Fostering the digitalization of SMEs and Midcaps is a major objective of regional policies of Region Grand Est (S3, Regional scheme for economic development, innovation, and internationalization,), which is the third most industrialized French region. To do so, the regional authorities have defined a transformation pathway for companies and set up a digital cluster (GET Digital), managed by Grand E-Nov+, the regional innovation and attractiveness agency, that brings together the key public and private stakeholders. Furthermore, the GE territory hosts national and European renowned technology platforms regarding IA, cybersecurity, HPC, and immersive technologies. Nevertheless, these digital infrastructures and expertise have not sufficiently benefited regional companies, due to the poor connections and weak organized links between digital platforms and SMEs from key sectors. The objective of the EDIH GE is to create a one-stop-shop hub to foster the digitalization of industrial SMEs and midcaps (automotive, engineering, mechanics, textile,...), that require support regarding identification, testing, and integration (training, funding) of advanced technologies such as AI or cybersecurity, and HPC in industrial processes. With a budget of 3.8 ME, EDIH GE will deliver services (170 TBI, 500 Trainees, 16 networking events (320 participants), and 80 funding services) in three years to at least 300 companies. To deliver this strategy, GEN+ will coordinate a consortium of 11 partners that gathers 7 Universities and Engineering schools, two TTOs that manage 19 platforms and provides advanced training services, and the regional chamber of commerce that will be active to detect and qualify use cases in SMEs and mid-caps. The EDIH GE partners will be plugged into the DTA, with EEN (GEN+ and CCI GE are members) and with French and European EDIH all along its 770km of borders. EDIH GE will be co-funded by Region Grand Est (40%) and private resources (10%).</t>
  </si>
  <si>
    <t>Jean-Jacques Bernardini</t>
  </si>
  <si>
    <t>30 rue François Spoerry, 68100 Mulhouse, France</t>
  </si>
  <si>
    <t>manufacturing and processing, automotive</t>
  </si>
  <si>
    <t>sme support, technology transfer, finance, sme business development</t>
  </si>
  <si>
    <t>artificial intelligence decision support, cybersecurity, high performance computing</t>
  </si>
  <si>
    <t>IP4FVG EDIH - Industry Platform for Friuli Venezia Giulia EDIH</t>
  </si>
  <si>
    <t>Industry Platform 4 FVG - EDIH is the European DIH for Friuli Venezia Giulia (FVG) Region, Italy. Although the Region ranks among the top national innovators, its economy needs support to boost the benefits of digital &amp; green transformation for SMEs &amp; Public Administrations. Due to its geographical position on the border with Slovenia, Austria, Croatia, its activities acquire a transnational value, especially for Central Eastern Europe. In line with S4 priorities, it promotes the use of AI, HPC and Cybersecurity capacities and in 3 relevant sectors for FVG economy: Manufacturing, Agrobiotech and Energy&amp;Environment. IP4FVG EDIH represents the evolution and scale-up of the regional DIH IP4FVG, fully operational since 2018 (supported by Sistema ARGO, an Institutional Protocol by the National Ministers of University and Research, Economic Development and Friuli Venezia Giulia Region) by a novel set of technologically specialized support services to boost adoption of digital and green technologies by regional SMEs and PAs and by granting access to the existing technological infrastructures for test-before-invest and skills building activities. It will also enable the outreach to complementary services and infrastructures provided by other EDIHs. Actions will be developed to support digitalization policies and stimulate the deployment of e-Government solutions. IP4FVG EDIH engages an ecosystem for digital innovation players, provides services for testing before investing, supports finding investments, financial and fiscal incentives, offers training and upskills services on digital capacities and fosters exchanges and enables local and extra regional SMEs and PAs to get access to the services and infrastructures by the European network of EDIH. A partnership composed by the main regional players representative of the quadruple helix ecosystem ensures competences and commitment to move towards the twin transition.</t>
  </si>
  <si>
    <t>Martina Terconi</t>
  </si>
  <si>
    <t>Padriciano, 99, 34149 Trieste TS, Italy</t>
  </si>
  <si>
    <t>https://www.ip4fvg.it/</t>
  </si>
  <si>
    <t>manufacturing and processing, agricultural biotechnology and food biotechnology, energy, environment, construction assembly, cultural and creative economy, health care, life sciences, public administration, metal working and industrial production, smart city, public administration</t>
  </si>
  <si>
    <t>innovation management, knowledge transfer, sme support, circular economy, ecosystem building, prototyping, public sector innovation, sme business development, technological innovation, smart specialisation strategies, regional development, field trial</t>
  </si>
  <si>
    <t>artificial intelligence decision support, internet of things, high performance computing, cybersecurity, simulation engineering and modelling, additive manufacturing, mobility, virtual reality, sensors vision processing systems, digital twins, cyberphysical systems, quantum technologies computingcommunication, robotics, new technologies for audiovisual sector media, industrial biotechnology, big data, human computer interaction</t>
  </si>
  <si>
    <t>Luxembourg Digital Innovation Hub</t>
  </si>
  <si>
    <t>L-DIH is the nation-wide EDIH for Luxembourg (LU). L-DIH focuses on the Manufacturing sector, including logistics. Technologically, we will focus mainly on HPC and Cybersecurity to become a EU EDIH lighthouse in the 2. As one-stop-shop for digital transformation, we will also support the digital transformation endeavours for any technologies (AI, 5G, IoT, robotics...). Our consortium consists of 5 key partners in the LU ecosystem (the national innovation agency, 1 RTO, 1 university and 2 competence centres), 3 associated partners, working closely with 2 national ministries (economy and communication). L-DIH expands on the existing mature innovation ecosystem by deploying 18 new digital transformation services. These services were carefully designed to on one hand integrate L-DIH in the LU ecosystem and leverage the existing services, and on the second hand bridge with the EU digital initiatives. With the consortium, L-DIH bridges with the HPC and Cybersecurity national competence centres to seamlessly leverage the EU efforts in both. We will work according to a structured funnel approach from Inform &gt; Inspire &gt; Engage declined in the 4 EDIH pillars. In stage 1, Inform, we show digitalization opportunities and benefit. In stage 2, Inspire, we work with small groups of common interest SMEs, In stage 3, Engage, we work directly with the SME in a customized digital transformation roadmap. Over 3 years, we will inform more than 250 SMEs multiple time, inspire 125 multiple times and engage at least 72 SMEs. We will self-assess our services and methodologies, along with the continuous market and ecosystem evolutions. We will draw expect to discover which best practices which will be exchanged with the EDIH network. As a member of the EDIH network, we establish a cross-border cooperation with the EDIH from the Greater Region (BE, FR, DE) and we will establish more than 15 corridors. We will bridge heavily with the DTA to become a vibrant member of the EDIH network.</t>
  </si>
  <si>
    <t>Luxembourg</t>
  </si>
  <si>
    <t>Philippe Mayer</t>
  </si>
  <si>
    <t>5 avenue des hauts fourneaux, 4362 Esch sur alzette, Luxembourg</t>
  </si>
  <si>
    <t>ecosystem building, field trial, finance, innovation management, sme support, vocational training</t>
  </si>
  <si>
    <t>high performance computing, cybersecurity, artificial intelligence decision support</t>
  </si>
  <si>
    <t>Mid Sweden Industry and GovTech EDIH</t>
  </si>
  <si>
    <t>MIGHTY EDIH (MIGHTY) will contribute to the European digital and green transition of SMEs, small-midcaps and public entities (Target groups), with special focus on Manufacturing industry and Govtech all over Europe. Building on a vast experience of bringing these sectors together in already ongoing cross-border collaborations, this combination will be a strong driver for innovative and silo-breaking digital and green transition of local companies and public actors. MIGHTY is based in two cohesive NUTS-2 regions (North Middle Sweden and Middle Norrland) covering 30 % of Sweden's area. Twinning together the regional S3-strategies for smart specialization with the European strategic goals for digital and green transition, MIGHTY will contribute from both a bottom-up and top-down perspective to make Europe climate neutral by 2050 in accordance with the Paris Agreement by strengthen the resilience and competitiveness of European industry and speed up the uptake and digitalisation within the public sector. Project partners will function as One-Stop-Shop, ensuring wide-spread local presence offering all EDIH-services foreseen in all regions in the spirit that all SMEs should have access to an EDIH within working distance. Cooperation with regional Industrial Networks is key in reach out to manufacturing SME in all regions. MIGHTY is built on long time established and well recognized non-profit-organizations already functioning as regional digital innovation hubs and science parks. This consortium is coordinated by RISE Research Institutes of Sweden and has a strong backing from the regions as well as from the four regional universities. Joining forces in MIGHTY means the consortium will evolve further and faster to better support target groups by leveraging and exchanging services, experience, and know-how of each other and of EDIHs across Europe, supporting the goals in DIGITAL and European Green Deal.</t>
  </si>
  <si>
    <t>Torbjörn Jonsson</t>
  </si>
  <si>
    <t>Magasinsgatan 10, 82445 Hudiksvall, Sweden</t>
  </si>
  <si>
    <t>https://www.mighty-edih.se/</t>
  </si>
  <si>
    <t>manufacturing and processing, public administration, metal working and industrial production, nmp nonmetallic materials basic processes, construction assembly, environment</t>
  </si>
  <si>
    <t>circular economy, innovation management, finance, regional development, sme support, sme business development, smart specialisation strategies</t>
  </si>
  <si>
    <t>logistics, additive manufacturing</t>
  </si>
  <si>
    <t>Basque Digital Innovation Hub: EDIH</t>
  </si>
  <si>
    <t>The BDIH participation in the EDIH initiative and network is essential for the successful growth and transition of the BDIH into a powerhouse of collaborative tech development and adoption at the centre of European competitiveness to achieve a balanced transformation of Basque industry with the use of ever-advanced and secure technologies for future-proofing their competitiveness. The BDIH is a public-private collaboration network made up of a complex ecosystem of universities, technology centres, advanced vocational training centres and business R&amp;D units, which connect their assets/infrastructures, laboratories, equipment, software, and scientific-technological capabilities (people) in the advanced manufacturing environment. Despite its young age, the BDIH is one of the European hubs with the largest number of members at 34, and has over 245 assets available. The BDIH catalogues the knowledge and technology available to its clients in 8 sub-structures called Nodes. These 8 nodes organise the network of assets – a combination of the infrastructure and the associated experts – into discrete services for companies in different fields of technologies and contexts. The implementation of the BDIH-EDIH sits across the three principal pillars of activity which represent the three strands of effective EDIH delivery: Service Provision, EDIH Integration and Strategy and Operations. The BDIH will directly support 360 SMEs and mid-caps in the adoption of digital technology solutions through the direct assessment of their business goals and the pairing of the right technical solutions, assets and expertise to meet theses. Through the already signed MOUs, the membership of existing DIH networks, the BDIH brings the best of Europe to its regional SMEs and will provide cross-DIH services and contribute as an active member of the EIDH with best practices, sector roadshows and support companies in achieving co-investment of over 3 million and 6 million in financing.</t>
  </si>
  <si>
    <t>Susana Larrea</t>
  </si>
  <si>
    <t>Alameda Urquijo 36, 48011 Bilbao Vizcaya, Spain</t>
  </si>
  <si>
    <t>https://bdih.spri.eus/en/</t>
  </si>
  <si>
    <t>manufacturing and processing, energy, health care</t>
  </si>
  <si>
    <t>prototyping, technological innovation, technology transfer, ecosystem building, finance, sme support</t>
  </si>
  <si>
    <t>robotics, cybersecurity, additive manufacturing</t>
  </si>
  <si>
    <t>HPC &amp; Big Data Processing for a more digital and sustainable Manufacturing</t>
  </si>
  <si>
    <t> 
Based on complementarity of roles, a unique specialization on HPC &amp; Big Data Processing for Sustainable Digital Manufacturing and a critical mass of capacity, BIREX++ merges together 15 Italian Champions to provide EU SMEs a full set of innovation and support services to support their twin transition into a more digital and sustainable business world. The Partnerships comprises: Highly-specialized Technologies and Service Providers with a unique critical mass of capability and skills: BIREX, CINECA, University of Bologna, National Inter-University Consortium for Information Technology, ATOS and TIM; Industry Federation and their DIHs with unique access to SME and connection with National Network: Confindustria Emilia-Romagna Ricerca, CNA Emilia-Romagna, PICO (DIH Lega-Coop); International Organization highly specialized in Networking and Ecosystem Management: EIT Manufacturing South, International Foundation Big Data and Artificial Intelligence for Human Develop; Champions in access to Finance and Capitals: Intesa Sanpaolo and Warrant Hub. As a support gateway for industry digitization towards advanced digital technologies, the proposed HUB is built to coordinate key actors on the Italian territory to let them work together in support to the SMEs providing a full set of integrated services, mainly: test-before-invest, training and skills, networking and access to ecosystems, support to find investments. To this end, BIREX++ aims to: (1) coordinate unique technological infrastructures and digital skills on HPC, Big Data and Cloud Computing, Applied-AI and 4.0 enabling technologies; (2) strengthen the capability to engage Manufacturing SMEs in a transformation journey to trigger additional investments; (3) deliver financial advisory services to access finance and capital; (4) establish a full set of networking opportunities and contribute to build a working initial EDIH Network.</t>
  </si>
  <si>
    <t>Danilo Mascolo</t>
  </si>
  <si>
    <t>Via Paolo Nanni costa 14, 40133 Bologna BO, Italy</t>
  </si>
  <si>
    <t>manufacturing and processing, smart city, telecommunications, consumer products, health care, space, textiles, transport mobility</t>
  </si>
  <si>
    <t>field trial, innovation management, knowledge transfer, prototyping, sme business development, sme support, technological innovation, technology transfer, circular economy, ecosystem building</t>
  </si>
  <si>
    <t>additive manufacturing, artificial intelligence decision support, big data, cloud services, cybersecurity, digital twins, high performance computing, internet of things, laserbased manufacturing and materials processing, robotics, virtual reality</t>
  </si>
  <si>
    <t>EDIH BOOST Robotics East Netherlands</t>
  </si>
  <si>
    <t>The East-Netherlands’ economy is predominantly a lively network of SMEs of which many struggle with digital transformation. The EDIH is key to make these SMEs ready for the future digital and green economy and to embed them more prominently in European value chains. EDIH BOOST ROBOTICS EASTNL focuses on Robotics &amp; Sensing in the region’s key sectors Manufacturing, Agrifood and Health. Main objectives are: • To make 350 SMEs in these sectors future proof by increasing their digital maturity with the EDIH’s services • To raise awareness for digital transformation of 1500 SMEs with the EDIH’s services The EDIH will connect, focus and scale the existing ecosystem. It is rooted in DIH BOOST Smart Industry (est. 2016) and builds on fieldlabs, skillslabs and DIH (networks) in the region (DIH-HERO, DIH-RIMA, DIH agROBOfood). Our consortium of 17 partners is dedicated to (1) provide excellent Robotics &amp; Sensing facilities and expertise to SMEs across the EU, (2) connect SMEs, expertise and regional facilities to Europe, and (3) build capacity on digitalisation in the innovation ecosystem. The EDIH will offer new services to SMEs: • Communication and dissemination services to raise the awareness for digital transformation and to collaborate with other Dutch EDIHs; • Digitalisation brokerage to proactively approach SMEs, help them identify digitalisation needs and guide them to the right services of the EDIH or the EU EDIH network; • Test before invest services to open-up test facilities and expertise on i.e. industrial robotics, digital twins, healthcare &amp; agrifood robotics; • Support to find investment for digital transformation to fill gaps in the financial ecosystem; • Skills and Training Modules to improve the ability of professionals to work with digitalisation, robotics and sensing; • International service pilots, networking and match-making services to strengthen SME’s positions in European value chains and to collaborate and create EU corridors between foreign EDIHs.</t>
  </si>
  <si>
    <t>Netherlands</t>
  </si>
  <si>
    <t>Bas Ramaker</t>
  </si>
  <si>
    <t>Markt 11, 6811 CG Arnhem, Netherlands</t>
  </si>
  <si>
    <t>https://european-digital-innovation-hubs.ec.europa.eu/edih-catalogue/edih-boost…</t>
  </si>
  <si>
    <t>manufacturing and processing, food and beverages, metal working and industrial production, health care</t>
  </si>
  <si>
    <t>ecosystem building, prototyping, sme support, technology transfer, knowledge transfer</t>
  </si>
  <si>
    <t>robotics, cyberphysical systems, sensors vision processing systems</t>
  </si>
  <si>
    <t>Cybersecurity and AI Hub | France</t>
  </si>
  <si>
    <t>CYBIAH is an European Digital Innovation Hub (EDIH) based in the Paris Region, dedicated to advancing cybersecurity initiatives with the potential for national and European expansion. Incubated at the heart of Campus Cyber (CCYB), CYBIAH benefits from exclusive access to top-tier cybersecurity experts, enabling the delivery of cutting-edge services to its diverse range of beneficiaries.
Recognizing the prohibitive costs associated with cybersecurity solutions, CYBIAH aims to bridge the gap by forming a consortium comprising highly specialized expertise tailored to address the needs of public administrations and SMEs across various sectors. Collaborating with external cyber providers familiar with real-world challenges, CYBIAH strives to achieve two key objectives:
Firstly, CYBIAH seeks to make exceptional cybersecurity services accessible to SMEs and public administrations. 
Secondly, the goal is to foster cybersecurity maturity and innovation within the Paris Region, both among service providers and clients. 
To support these objectives, CYBIAH has developed customized support packages based on the size, sector, and digital maturity of its beneficiaries.
The comprehensive offerings include actions to facilitate digitalization, encompassing training to enhance digital skills and guidance on implementing best practices to achieve and maintain a robust security posture that dissuades potential attackers. The program is structured into four distinct steps – Onboarding, Assessment, Services, and Sustainability. Notably, steps one and two are provided at no cost under specific conditions, while steps three and four are available at preferential rates.
CYBIAH's solutions span awareness and anticipation, total protection, as well as detection and reaction. This holistic approach ensures a well-rounded cybersecurity strategy. In summary, CYBIAH's commitment to accessibility, innovation, and tailored support positions it as a key player in advancing cybersecurity resilience across the Paris Region and beyond.</t>
  </si>
  <si>
    <t>Anne-Sophie Colleaux</t>
  </si>
  <si>
    <t>5-7 rue bellini, 92800 Puteaux, France</t>
  </si>
  <si>
    <t>https://www.cybiah.eu/</t>
  </si>
  <si>
    <t>manufacturing and processing, health care, public administration, travel and tourism, retail, wholesale or distribution</t>
  </si>
  <si>
    <t>sme support</t>
  </si>
  <si>
    <t>artificial intelligence decision support, cybersecurity</t>
  </si>
  <si>
    <t>European Digital Innovation Hub for North - Central Poland - 1</t>
  </si>
  <si>
    <t>Piotr Józefiak</t>
  </si>
  <si>
    <t>Wloclawska 167, 87-100 Torun, Poland</t>
  </si>
  <si>
    <t>https://iotnorthpoland.com/</t>
  </si>
  <si>
    <t>manufacturing and processing, health care</t>
  </si>
  <si>
    <t>additive manufacturing, robotics, cybersecurity</t>
  </si>
  <si>
    <t>Digital Innovation For Lithuanian Industrial Development</t>
  </si>
  <si>
    <t>Industry need driven European Digital Innovation Hub (EDIH) of Central and Western Lithuania consists of 14 partners operating throughout Lithuania and representing different areas of competence and experience.We are operating in 5 sectors: Manufacturing, Public Sector, Healthcare &amp; Biotechnologies, ICT and Fintech.Our key competences are Artificial Intelligence (AI) and Cybersecurity (CS) in the fields of ​Big data, Automated BMS &amp; WMS, Smart Sensors, ​Robotics, I​oT/IoIT, ​Automation, ​VR/AR, Automatic reporting.​
Aim: a) growth of major digital areas fostered by the EC; b)  high level of digital skills and widespread use of digital technologies; c)competitiveness of business models and processes at industries and Public bodies.
Mission: To be the one-stop shop that enables effective digitalisation in Manufacturing, Public Administration and emerging sectors.
Vision: To raise Lithuania to catch up as a digitalisation leader within Baltic regions.
Project goals: a) deliver innovation consulting and support services; b) contribute to global competitiveness of Lithuania innovation ecosystem.
Tasks:
Increase Lithuania’s competitiveness, productivity, investments in higher value-added products and to promote integration of digital solutions and new technologies.
Encourage cooperation between stakeholders at industrial digitalisation/infrastructure development.
Help anticipate change and adapt to future needs.
Promote digitalisation of the region and society.
Strengthen digital skills in public/private sectors.
Services:
Test Before Invest: customers to obtain reliable expected results for their digitalisation ventures
Ecosystem building and networking: operative liaisons through competitive Competence Centers
Support to find investment: guide users to simple, efficient and realistic paths for opting to funding schemes
Skills and training: practical knowledge at digitalisation, technology and global business Adaptation
 </t>
  </si>
  <si>
    <t>Mindaugas Bulota</t>
  </si>
  <si>
    <t>K.Donelaicio g. 73, 44029 Kaunas, Lithuania</t>
  </si>
  <si>
    <t>https://di4lithuanianid.com/</t>
  </si>
  <si>
    <t>manufacturing and processing, public administration, health care, telecommunications, financial</t>
  </si>
  <si>
    <t>prototyping, ecosystem building, innovation management, technological innovation, sme business development, technology transfer, public sector innovation, smart specialisation strategies, sme support</t>
  </si>
  <si>
    <t>DIGITAL EMERGENCY RESPONCE FOR SLOVENIA</t>
  </si>
  <si>
    <t>DIGI-SI will foster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will deliver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 The modus operandi of DIGI-SI is to offer services and facilitate client journey throughout the circular value chain of defined S5 priority areas. Starting from enabling test-before invest, skills and training, support to find investments, all the while serving as an awareness platform of the benefits and opportunities of the digital age. 
As a “first-responder” for digital emergencies DIGI-SI has a customer centric approach with an emphasis on timely and efficient service delivery. Apart from physical locations in both NUTS2 regions clients will be able to take advantage of features integrated into the DIGI-SI online shop, such as Academy, Virtual agent, supported by Live agents and Digital emergency hotline.</t>
  </si>
  <si>
    <t>Muhamed Turkanovic</t>
  </si>
  <si>
    <t>Slomskov trg 15, 2000 Maribor, Slovenia</t>
  </si>
  <si>
    <t>https://digi-si.eu/</t>
  </si>
  <si>
    <t>manufacturing and processing, health care, travel and tourism, agricultural biotechnology and food biotechnology</t>
  </si>
  <si>
    <t>technology transfer, technological innovation, knowledge transfer, finance, ecosystem building</t>
  </si>
  <si>
    <t>artificial intelligence decision support, big data, blockchain and distributed ledger technology dlt, cybersecurity, high performance computing, robotics, internet of things, virtual reality</t>
  </si>
  <si>
    <t>European Digital Innovation Hub on Manufacturing</t>
  </si>
  <si>
    <t>The European Digital Innovation Hub DIGITALIS aims to help both traditional SMEs (with the adoption of new digital technologies) and tech savvy SMEs (with building up a competitive advantage in the globalized marketplace). Through our “ecosystem” service we will also bring together both groups of SMEs in order to create a marketplace for digital solutions and let the traditional SMEs learn from their peers. The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DIGITALIS thus aims to act as a "one-stop shop" for manufacturing companies that want to digitize their products and processes. Our embedding in the regional as well as the European innovation landscape paves the way to provide the best available service to the SMEs. Although the focus of the EDIH is very clearly on the industry, several concepts, methodologies, and tools may also be relevant to public authorities. Where possible, we will also support these questions The main objectives of DIGITALIS address the core elements of the call for a network of European Digital Innovation Hubs. We will support the digital transformation of EU industrial ecosystems, increase the level of industrial digitalisation, upskill the workforce and reinforce critical digital capacities. DIGITALIS will form the “gateway” to a set of services, technologies and knowledge which are necessary for this digital transition and will play an active role in the European network of EDIHs. We will thus actively support the deployment of digital technologies such as Artificial Intelligence and Cybersecurity (focus of the hub).</t>
  </si>
  <si>
    <t>Ger VAN DEN KERKHOF</t>
  </si>
  <si>
    <t>Oude diestersebaan 133, 3920 Lommel, Belgium</t>
  </si>
  <si>
    <t>https://digitalis.europeandigitalinnovationhub.com/?page_id=212</t>
  </si>
  <si>
    <t>manufacturing and processing, transport mobility</t>
  </si>
  <si>
    <t>ecosystem building, field trial, finance, innovation management, knowledge transfer, prototyping, sme business development, sme support, technological innovation, technology transfer, vocational training</t>
  </si>
  <si>
    <t>additive manufacturing, artificial intelligence decision support, cyberphysical systems, cybersecurity, digital twins, high performance computing, internet of things, locationbased applications, micro and nanoelectronics, optoelectronics, photonics, semiconductors and nanotechnology, sensors vision processing systems, simulation engineering and modelling, virtual reality</t>
  </si>
  <si>
    <t>EDIH Regiunea Vest Romania</t>
  </si>
  <si>
    <t>DIGIVEST is the West Region's EDIH located in Timisoara  aiming to empower companies uptake digital technologies to boost the regional innovation and competitiveness. The services align around the core objectives to foster digital transformation, support access to finance, leverage international business partnerships, grow digital competences, enable innovation and multi -stakeholder projects. By integrating the EDIH into the regional ecosystem and engaging the existing know-how and network, the EDIH is complementing the emerging ecosystem of West Region striving to offer access to valuable service and to international presence for regional actors into global value chains The  value proposition is focusing on the creation of new business opportunities and innovation cooperation. </t>
  </si>
  <si>
    <t>Marius Niculae</t>
  </si>
  <si>
    <t>Lazar Gheorghe 14, 300080 Timisoara, Romania</t>
  </si>
  <si>
    <t>https://www.digivest.ro/</t>
  </si>
  <si>
    <t>manufacturing and processing, automotive, transport mobility, nmp nonmetallic materials basic processes, metal working and industrial production, agricultural biotechnology and food biotechnology, food and beverages, consumer products, cultural and creative economy, education, energy, financial, public administration, travel and tourism, aeronautics, health care, smart city</t>
  </si>
  <si>
    <t>ecosystem building, sme business development, sme support, finance, smart specialisation strategies, technological innovation, innovation management, field trial, regional development, prototyping, circular economy, public sector innovation, vocational training</t>
  </si>
  <si>
    <t>high performance computing, cybersecurity, internet of things, software architectures, bi tools, additive manufacturing, internet services applications, mobility, simulation engineering and modelling</t>
  </si>
  <si>
    <t>Establishment and development of Digital Innovation Hub Mechanika, Bulgaria</t>
  </si>
  <si>
    <t>The project’s main objective is to establish and develop Digital Innovation Hub Mechanika in town of Peshtera, South Central Region of Bulgaria, which supports SMEs, small-midcaps and public entities in digital transformation through providing services as testing before investing and trainings and consultancy, as well as through providing support to find investment and to find effective collaborations in regional innovation ecosystem. The DIH Mechanika digitalisation objectives are focused on footwear and garment production industry and the related to the shoe industry green and low-carbon technologies. Project’s objectives will be achieved through investments in robotics and 3D technologies for the establishment of digitalisation and industrial design center within the hub, through providing access and services to SMEs, small-midcaps and public entities in development of digital and low-carbon technologies for the footwear and garment industry, as well as through activities for networking and cooperation. The described project’s objectives correspond to the priorities of the call for proposals. The project as well as the programme aims at developing capacities in advance digital skills and best use of technologies for accelerating economic development. Both, the project and the programme aim at accelerating digital transformation in SMEs, small-midcaps and public organisations and both the project and the programme are focusing on development of Industry 4.0 principles through introduction of AI and digital technologies in the manufacturing process. The effect of the project implementation is the increased capacity for digital transformation and innovation activities, including increased innovation potential in the South Central planning region in the field of automation and digitalisation of the footwear and garment industry.</t>
  </si>
  <si>
    <t>Gyursel Ingilizov</t>
  </si>
  <si>
    <t>1 hristo cikalov str., 4550 Peshtera, Bulgaria</t>
  </si>
  <si>
    <t>leather, manufacturing and processing</t>
  </si>
  <si>
    <t>prototyping, innovation management, technological innovation, vocational training, circular economy</t>
  </si>
  <si>
    <t>robotics, additive manufacturing, simulation engineering and modelling</t>
  </si>
  <si>
    <t>Digital Italian Hub for ConstrUction and Built Environment</t>
  </si>
  <si>
    <t>DIHCUBE aims at establishing the Italian Digital Hub for Construction and the Built Environment. The construction industry is pivotal to the Italian economy (22% of the GDP) and to every citizen’s life, yet it is a sector that suffers from deep backwardness. This is matched by low competitiveness worsened by the recent economic crisis and difficulty in harnessing innovation. The same factors hinder the sustainable transformation of the sector. This is why the Commission has included constructions amongst the 14 priority ecosystems that face the most significant challenges in meeting sustainability goals and in embracing the digital transformation. DIHCUBE will address these issues by bringing together the most advanced research centres and the value chain of the construction industry: SMEs, professionals, suppliers of materials and technology and the public sector. The partners have been chosen to promote a systematic technological shift: they include R&amp;I experts, the Public Sector and specialists in business innovation. Two of them are the most representative organizations of the construction sector; one of them will coordinate the project and will make available its nation-wide network to systematically engage DIHCUBE stakeholders. Given the low level of digitalization in the compartment and the high potential for digital transformation, DIHCUBE services will range from basic digital literacy to advanced pilot coaching for the use of AI and highly specialized consultancy for niche uses. DIHCUBE assistance will be offered across the whole of Italy and will consist of a complete set of services. The Hub will function as a unique access point to the EDIHs network and has already signed an agreement with 6 construction EDIH-candidates. The crisis has deeply hit Italy and the National Recovery Plan has just been deployed. The construction sector, that is central to the Plan, will be able to deliver only if it will undergo a deep green and digital transformation.</t>
  </si>
  <si>
    <t>Marco Iuorio</t>
  </si>
  <si>
    <t>Via guattani 16/18, 00161 Roma RM, Italy</t>
  </si>
  <si>
    <t>https://www.dihcube.eu/</t>
  </si>
  <si>
    <t>construction assembly, environment, education, smart city, public administration, manufacturing and processing, real estate</t>
  </si>
  <si>
    <t>technological innovation, sme support, innovation management, sme business development, vocational training, prototyping, technology transfer, public sector innovation, circular economy, ecosystem building</t>
  </si>
  <si>
    <t>simulation engineering and modelling, communication network, internet of things, cybersecurity, sensors vision processing systems, cloud services, artificial intelligence decision support, digital twins, gamification, robotics, additive manufacturing, virtual reality</t>
  </si>
  <si>
    <t>EDIH Clothing Technology and Textile Hub</t>
  </si>
  <si>
    <t>European Digital Innovation Hub of Clothing Technology and Textile (CLOTEX-HUB) aims to increase the competitiveness of garment manufacturing products of small and medium-sized enterprises of the Khmelnytskyi region of Ukraine due to the digitisation of clothing manufacturing and the introduction of innovative technologies to ensure the product’s entry into the European market, thus integrating into international chains of creating added value of products and services.
CLOTEX-HUB operates within the ecosystem of a sewing cluster factory, providing high-added-value services for experimentation, access to training, technological infrastructures and financial support through a dynamic and interconnected ecosystem, firmly committed to becoming a relevant player in the EDIH network, expanding its collaboration outreach to other European regions. Khmelnytskyi ranks in the top ten in clothing manufacturing in Ukraine, representing over 1000 registered SMEs. The “Development Strategy of Khmelnytskyi Region for 2021-2027” states that the region's smart specialisations are defined as follows: food industry, light industry, mechanical engineering, and metalworking. In the field of light industry in the Khmelnytsky region, where CLOTEX-HUB operates, a smart specialisation is textile and clothing production. On the other hand, innovation capacity and digitalization intensity are still ranked rather low at the European level.
EDIH CLOTEX-HUB will contribute to increasing the efficiency level in the sewing industry and machine-building sectors of digital transformation, giving priority to (i) clothing business entities operating in the Khmelnytskyi region of Ukraine and (ii) the implementation of main digital technologies (Advanced Digital Skills, VR/AR technologies, Artificial Intelligent, and Cybersecurity).
The consortium consists of four Beneficiaries (Khmelnytskyi National University; NGO Agency for Sustainable Development “ASTAR”; PU “Podillia Fashion Cluster”; NGO “IT CLUSTER OF KHMELNYTSKYI”).</t>
  </si>
  <si>
    <t>Ukraine</t>
  </si>
  <si>
    <t>Oksana Zakharkevych</t>
  </si>
  <si>
    <t>11, Instytuts’ka str., Khmelnytskyi, Khmel'nyts'ka oblast, 29016, Ukraine</t>
  </si>
  <si>
    <t>https://clotex.khmnu.edu.ua/</t>
  </si>
  <si>
    <t>construction assembly, consumer products, cultural and creative economy, education, energy, environment, financial, manufacturing and processing, metal working and industrial production, polymers and plastics, public administration, retail, wholesale or distribution, security, textiles</t>
  </si>
  <si>
    <t>additive manufacturing, artificial intelligence decision support, chemical engineering plants, products, cybersecurity, digital twins, high performance computing, human computer interaction, internet of things, internet services applications, laserbased manufacturing and materials processing, logistics, new technologies for audiovisual sector media, robotics, sensors vision processing systems, simulation engineering and modelling, virtual reality</t>
  </si>
  <si>
    <t>Enabling Digitalisation In the Construction Sector</t>
  </si>
  <si>
    <t>EDICS project is a collaborative effort of 11 prominent Bulgarian organizations in the construction sector with nationwide coverage and established ecosystems which combine (1) complimentary expertise in digital technologies in the construction sector (2) policy making regarding the development of the construction sector in Bulgaria (3) business networks for clean technologies, innovation and sustainable development (4) technology transfer and access-to-finance capabilities (5) vocational trainings and educational programmes (6) access to Pan-European networks (7) R&amp;D of innovative technologies and greener building materials. The 12th Partner in the Consortium is the newly established NGO “European Digital Innovation Hub” founded by the rest of the project Participants to ensure sustainability of project results. EDICS project main objective is to boost the adoption of advanced digital technologies in the construction in Bulgaria by providing specialized services to SMEs and public sector fitted to their needs and challenges in the green transformation while at the same time acting as a connector to the entire EDIH network and the large pool of digitalization services on a European scale. For doing so, the EDICS project will set up and develop a European Digital Innovation Hub in the Construction Sector (EDIHCS) based in Sofia (Bulgaria), integrating expertise, networks and resources for offering tailor-made services in digitalization of the construction sector. The EDIHCS will act as a one-stop shop for SMEs and public organizations in their journey for digitalization guiding them in the process of assessing their digital maturity, providing the best-fitting services to their specific needs and challenges including test before invest, acceleration and access to finance, and establishing synergies with international networks and platforms for further scale-up of locally-produced innovation.</t>
  </si>
  <si>
    <t>Lyubomir Peynovski</t>
  </si>
  <si>
    <t>ul. Mihail Tenev 6, 1784 Sofia, Bulgaria</t>
  </si>
  <si>
    <t>http://edih-construction.bg</t>
  </si>
  <si>
    <t>construction assembly</t>
  </si>
  <si>
    <t>ecosystem building, innovation management, sme support</t>
  </si>
  <si>
    <t>digital twins, internet of things, locationbased applications, simulation engineering and modelling, artificial intelligence decision support</t>
  </si>
  <si>
    <t>A European Digital Innovation Hub for Construction powered by Electronics, Artificial Intelligence &amp; Information and Communication Technologies.</t>
  </si>
  <si>
    <t>In EU-27, the Construction sector represents 25 million workers, 9,6% GDP, 6,4% of total employment and 5,3 million companies for a total of 101,1 b€ turnover. But the sector faces major challenges for the coming years. With 40% of EU energy consumption, 36% of CO2 emissions and only 1% of renovation rate, the sector must massively invest in the green transition keeping in mind that we spend 90% of our time indoor and 97% of the housing stock is (energy) inefficient. The digitalisation of the sector provides a tremendous lever arm to increase the productivity and respond to this green transition but companies lack information, confidence, skills and access to finance to invest in digital. Studies indicate that digital transformation in the Construction sector can result in productivity gains of 14 to 15 percent and cost reductions of 4 to 6 percent. To respond to economic imperatives and increase the digital maturity of its companies, the construction sector has pulled out all the stops to commit itself to the innovation dynamic driven by Digital Europe and proposes the creation of a European Digital Innovation Hub (EDIH) dedicated to Digital Construction (“CONNECT”) in Wallonia. The project will be based on four pillars (test before invest, skills and competences, innovation eco-system and financial support) and articulated around AI, IoT, robotics and more generally data-driven technologies applied in Construction. As the EC recognised the Construction as a priority industrial ecosystem, the EDIH CONNECT will deeply contribute to this strategy and will specifically tackle the low adoption rate of digital by SMEs and the public administration in Wallonia and in the Construction sector in general. It will also enable Walloon companies to export their know-how within a European dimension, while promoting the digital transformation of a sector that is important for the Walloon economy (13% of added value, 17% of total private employment).</t>
  </si>
  <si>
    <t>Francois Denis</t>
  </si>
  <si>
    <t>av. Pierre Holoffe 21, 1342 Limelette, Belgium</t>
  </si>
  <si>
    <t>https://www.edih-connect.be</t>
  </si>
  <si>
    <t>construction assembly, transport sector, manufacturing and processing</t>
  </si>
  <si>
    <t>ecosystem building, field trial, circular economy</t>
  </si>
  <si>
    <t>internet of things, artificial intelligence decision support, big data, digital twins</t>
  </si>
  <si>
    <t>European Digital Innovation Hub - Energy in the Built Environment</t>
  </si>
  <si>
    <t>The EDIH-EBE focus is on sectoral coverage on Energy in Buildings and Districts, and as such, positions itself with focus and specialism for digitalisation within sector-coupling between Construction, Energy and ICT.
Its main objective is to act as a central access point, a “One-stop-shop” in providing range of services with the ultimate goal to support SMEs and public sector organisations towards successful digital transformation.
The ‘hub’ is based on the strong mobilisation of the excellent competences/expertise and infrastructure/facilities already available in Flanders.
Customers are supported with knowledge and expertise in (forward looking) digital technologies, trainings to increase competences in skilled work force, networking/info sessions/matchmaking events for improving awareness and bringing together actors of supply and demand in digital solutions, access investments for cost of equipment and software, and testing and experimenting environment to experience benefits leading to higher productivity, better technical performance, new business models and services.
Given the EDIH-EBE specialization, the support offered and the target market segments’ economic activity, it has a high potential for direct impact on the goals of the European Green Deal in terms of positive environmental effects and contribution to the reduction of carbon emissions, efficient use of resources, higher productivity and improved technical performance and business cases.
Specific objectives are to:▪ Have a specific focus &amp; sectoral coverage on Energy in Buildings and Districts, at level ofindividual buildings, interaction of energy flows between buildings, and interaction with the energy grid. As such, it positions itself with focus and specialism for digitalisation within sector-coupling between Construction, Energy and ICT.
▪ Provide support for several Digital Technologies: Artificial Intelligence (AI), High PerformanceComputing (HPC), Cybersecurity, Internet of Things (IoT), Cloud computing, Building Information Management (BIM), Big Data, Datasets, Data analytics, Simulation/Software, Digital Twin. The overarching motivation is stimulating use of these technologies, withinbusiness/functions to improve products, processes, productivity and services.
▪ Position itself as facilitator for uptake of advanced digital technologies and theiraccelerated use in the construction industry. Embracing digital technologies in the energydomain in the built environment is essential for energy efficient construction and renovation ofbuildings/districts, with increased digitalization in the built environment being seen as muchnecessary step (e.g. ‘Renovation Wave’). Many Flemish companies (and elsewhere in Europe)are lagging in digital skills and are in need of knowledge, skills and experience to increase theirdigital maturity level, making the urgency very high of providing them with necessary support.
▪ Establish fully operational ‘One-Stop-Shop’ in the Region of Flanders (Belgium)incorporating all necessary functionalities for smooth functioning of the EDIH Services.The hub is based on strong mobilisation of the excellent competences/expertise andinfrastructure/facilities already available in Flanders. It is also based on strong mechanisms for networking and matchmaking within its innovation ecosystem as well as collaboration of EDIH-EBE across Europe, namely through benefiting from networking and collaboration within the EU-EDIH- Network and relevant competences and capacities built up in the context of the Digital Europe Programme.</t>
  </si>
  <si>
    <t>Irena Kondratenko</t>
  </si>
  <si>
    <t>Boeretang 200, 2400 Mol, Belgium</t>
  </si>
  <si>
    <t>https://edih-ebe.eu</t>
  </si>
  <si>
    <t>construction assembly, energy, smart city, transport mobility</t>
  </si>
  <si>
    <t>ecosystem building, technological innovation, knowledge transfer, prototyping, vocational training, finance, field trial, public sector innovation, sme support</t>
  </si>
  <si>
    <t>artificial intelligence decision support, big data, blockchain and distributed ledger technology dlt, cloud services, cybersecurity, digital twins, high performance computing, internet of things, simulation engineering and modelling, virtual reality</t>
  </si>
  <si>
    <t>Emilia-Romagna Regional Ecosystem of Digital Innovation</t>
  </si>
  <si>
    <t>ER2Digit is the European Digital Innovation Hub of the Emilia-Romagna region to promote the improvement of public services and the adoption of innovative digital solutions.
ER2Digit supports the digitalization of small and medium enterprises and public bodies through concrete tools, by providing the knowledge, skills and resources to improve their competitiveness in many sectors: health, construction, culture, tourism, monitoring of the territory and sustainability.
ER2Digit focuses mainly on artificial intelligence and supercomputing technologies to support the strategic use of data for the enhancement of public services, offering access to top-notch hardware and software infrastructures, while contributing to the assurance of trustworthy data processing. The Hub is built on core competences acquired in 20+ years of innovation policy of the Emilia-Romagna Region, that brought to the creation of an effective innovation ecosystem, made by many public and private actors who invested - and are still investing - in the delivery and adoption of new technologies and innovation across all economic and social sectors. 
PARTNER
A public partnership and an ecosystem to support the Hub
ER2Digit is the result of a partnership consisting of:
ART-ER, which brings its experience in implementing the innovation practices of the Emilia-Romagna region and in coordinating the local ecosystem and the hub itself.
LEPIDA, the main regional public player that supports the digitalization of the public bodies. It is an operational facility of the Emilia-Romagna Regional Authority for the development of telecommunications infrastructure, enabling services and applications, and a driver of the implementation and dissemination of Digital Agenda topics.
CINECA, a Consortium composed of 115 Italian universities and public institutions, is the largest computing centre in Italy and one of the main ones worldwide. CINECA hosts and manages LEONARDO, the world’s fourth supercomputer, which provides 20% of Europe’s and 80% of Italy’s computational power.
For its activities, ER2Digit also uses the skills and research and experimentation capabilities of the industrial research Laboratories of the Emilia-Romagna High Technology Network.
ER2Digit represents an opportunity for digital innovation and for the development of society and the data economy. It is one of the first results of the regional strategy for the creation of the Emilia-Romagna Data Valley.
ER2Digit freely provides its audience with FIRST Digital, the web platform that gathers news, events, access to financial and networking opportunities focused on digital transformation.</t>
  </si>
  <si>
    <t>Ugo Mencherini/Lucia Mazzoni</t>
  </si>
  <si>
    <t>Via Piero Gobetti 101, 40129 Bologna BO, Italy</t>
  </si>
  <si>
    <t>construction assembly, cultural and creative economy, energy, health care, life sciences, public administration, transport mobility, travel and tourism</t>
  </si>
  <si>
    <t>artificial intelligence decision support, big data, high performance computing, internet of things, locationbased applications</t>
  </si>
  <si>
    <t>Digital transformation of Central Croatia and Northern Adriatic through JURK EDIH</t>
  </si>
  <si>
    <t>Project AI and Gaming EDIH covers geographic area of Central Croatia and Northern Adriatic in Croatia. It is focused on the sector of AI, technologies covered are Game-development (gamification), Blockchain and Internet of Things (IoT). Focus areas will be Agriculture (autonomous drive), Tourism and Hospitality, Health (medical rehabilitation), Wood Industry, Construction, Pharmaceutics, Video-game development, Education. Project consortium makes 8 partners. The lead partner (coordinator) is Regional coordinator of Sisak Moslavina County, other partners are Regional development agency SIMORA with its DIH PISMO, Institute of Physics Zagreb, Faculty of organization and informatics Varaždin, Fastlane LTD, Hashnet LTD, Lipik Development agency/AI Centre Lipik, University College PAR Rijeka with its DIH DigiParc. AI and Gaming EDIH will work with several target groups such as SMEs, start-ups, public sector institutions, citizens. Identity will be built on strong competences of partners - infrastructure, equipment, expertise in business consulting and skills upgrading, knowledge in the field of AI, IoT, Game-development and blockchain, business support. Services of AI and Gaming EDIH are: Test before invest, Skills and trainings, Ecosystem and networking, Support to find investment. 600 SMEs will pass through 36 months of project activities as well as 30 public sector entities. AI and Gaming EDIH has also created strong link with various stakeholders such as chambers, universities, companies, clusters, health institutions, technological parks, agencies and institutes and has networked with number of EDIHs on EU level. AI and Gaming EDIH plans to open discussion about growth and innovation potentials on regional, national and EU level. It will be a contact point in Central Croatia and Northern Adriatic, able to provide all necessary services, infrastructure and equipment to SMEs and public sector, strengthening their capacities, but also creating skilled workforce that will be able to answer to the future needs.</t>
  </si>
  <si>
    <t>Croatia</t>
  </si>
  <si>
    <t>Tomislav Plesec</t>
  </si>
  <si>
    <t>Rimska 28, 44000 Sisak, Croatia</t>
  </si>
  <si>
    <t>https://gaming-edih.hr/</t>
  </si>
  <si>
    <t>construction assembly, consumer products, cultural and creative economy, education, health care, metal working and industrial production, paper and wood, public administration, travel and tourism</t>
  </si>
  <si>
    <t>ecosystem building, field trial, innovation management, knowledge transfer, prototyping, technology transfer, vocational training</t>
  </si>
  <si>
    <t>gamification, artificial intelligence decision support, blockchain and distributed ledger technology dlt, digital twins, internet of things, virtual reality</t>
  </si>
  <si>
    <t>A Norwegian EDIH on Artificial Intelligence</t>
  </si>
  <si>
    <t>European private and public companies are lagging other regions in exploiting how advanced digital technologies can contribute to better services and more effective/efficient processes and business models.
Contributing to this challenge is our dependence on technologies from other regions, and the importance of our collective effort to succeed in becoming greener.
The Digital Europe Program will complement other EU Programs by helping private and public companies develop capacities in utilizing High-Performance Computing, Artificial Intelligence, Cybersecurity, Advanced Digital Skills in accelerating the best use of technologies in tackling these challenges.
One of the mechanisms deployed through Digital Europe is the European Digital Innovation Hubs. Nemonoor is a Norwegian consortium of eight partners with a long-standing history of collaboration and joint efforts, that has been designated by Norway to become an EDIH.
Our belief is that the challenge at hand can only be solved through collaboration among partners that have deep knowledge and experience within all aspects of how private and public companies approach digital, and how they build their capabilities and exploit the opportunities.
Our approach is based on two main objectives:
support SME/public sector enterprises in Norway with AI Adoption, and
ensure EDIH synergies on the European and national levels.
Nemonoor partners have a long history of mobilizing private and public companies to act, and to build their capabilities to deploy the technology.
With the Nemonoor consortium in place, we have the best means to scale on what we are already doing and release further national and EU funding to activities that contribute to growth and prosperity for European companies and citizens.
The application gives a comprehensive description of our capabilities, how we will utilize these capabilities, and how we will engage and assist companies in taking part in the digital transformation journey.</t>
  </si>
  <si>
    <t>Norway</t>
  </si>
  <si>
    <t>Eirik Andreassen</t>
  </si>
  <si>
    <t>Universitetsgata 2, 0164 Oslo, Norway</t>
  </si>
  <si>
    <t>https://www.nemonoor.no/</t>
  </si>
  <si>
    <t>construction assembly, education, energy, environment, health care, life sciences, manufacturing and processing, maritime, smart city, transport mobility</t>
  </si>
  <si>
    <t>ecosystem building, finance, innovation management, knowledge transfer, sme business development, sme support, technological innovation, technology transfer, vocational training</t>
  </si>
  <si>
    <t>artificial intelligence decision support, big data, cyberphysical systems, cybersecurity, digital twins, high performance computing, human computer interaction, internet of things, mobility, robotics, virtual reality</t>
  </si>
  <si>
    <t>nZEB Smart Home DIH</t>
  </si>
  <si>
    <t>The nZEB Smart Home DIH, coordinated by CERTH's Information Technologies Institute (ITI), was established in early 2017 as the first Hub in Central Macedonia, and has been fully operational ever since. The nZEB Smart Home DIH is an active liaison between research and the markets, acting as a driving force for empowering market-oriented stakeholders with innovative digital solutions. The Smart Home’s technological orientation goes over multiple vertical domains, with special focus on Robotics (commercial or prototype units available for use, integration with devices and sensors, advanced manipulation and control features added), Artificial Intelligence (e.g. intuitive perception and cognition for robotic systems), Cyber physical systems (e.g. embedded systems), Internet of Things (e.g. connected devices, sensors and actuators networks), Simulation and modelling, Big Data, Blockchain, Visual Analytics, and more. One of the unique merits of the DIH is the actual nZEB Smart Home infrastructure. It is a unique Building based on state-of-the-art construction materials (insulation, glass panes, etc.) with "smart" technologies that allow the exploration of various ICT research domains, such as Robotics and Assisted (Tele-) Heath services, or optimized energy efficient building management while simultaneously automating Renewable Energy Sources use. The Smart Home infrastructure is used as a pilot program for validation / testing of new technologies and services provided by the research community. It is equipped with a multi-sensorial network that measures in real-time almost all parameters that consist open challenges for a modern home / workplace (energy, occupancy, health, etc.). In 2019, the IsZEB Cluster emerged from the funded support program "Clusters for promoting innovation in local entrepreneurship." from the Regional Operation Programme Central Macedonia 2014-2020. The Cluster has special focus on the Construction sector, aiming to provide tools and guidelines for the entire lifecycle of a smart zero or positive energy building. Comprised of 16 members, including the leading Greek companies and authorities in the field of Smart Energy Buildings, it operates on the triple helix model, providing R&amp;D services, training &amp; education opportunities, ecosystem development, and innovation management The evolution of the nZEB Smart Home into the IsZEB Cluster marks a strategic progression in fostering innovation and collaboration. Building upon the success and expertise of the nZEB Smart Home initiative, the IsZEB Cluster seamlessly continues its mission, bringing together a diverse array of stakeholders. This transition represents a significant step forward in advancing the economy of smart buildings, facilitating research and development services, ecosystem development, and innovation management for businesses ranging from startups to SMEs and industrial entities. The IsZEB Cluster, maintaining the esteemed attribute of a testbed infrastructure inherited from the nZEB Smart Home, plays a pivotal role in driving collaborative projects and initiatives, creating a dynamic ecosystem for the development of the construction sector. European Initiatives: • Horizon 2020 and Horizon Europe: The IsZEB Cluster participates in various EU-funded R&amp;D projects, aimed at advancing sustainable and innovative solutions in the field of smart and zero-energy buildings (e.g. D2EPC, Response, Accept, EUH4D, metabuilding, InCube, SmartLivingEPC, SUSTAIN Eurocluster, SmartSquare). Accordingly, the nZEB Smart Home participates in various H2020 covering diverse technological domains, from robotics and artificial intelligence to energy-efficient buildings and smart healthcare solutions (Plug-N-Harvest, encompass, Greensoul, ACTIVAGE, GHOST, ACROSSING, INTEGRIDY, VICINITY, DELTA, 3DMicroGrid, eDREAM, DRIMPAC, DIH^2, AI DIH Network, SIT4Energy, AMANDA, AI4EU, DIHNET, BIMERR, MEISTER, PLANET, SMILE, IRIS, AIREGIO, SmartLivingEPC and much more) By participating in those projects, IsZEB Cluster &amp; nZEB Smart Home DIH not only stay at the forefront of technological advancements but also play a crucial role in shaping the EU research landscape. These collaborative endeavours allow them to leverage their expertise, state-of-the-art infrastructure, and multi-sensorial network to contribute with valuable insights and solutions to the various projects. • European Digital Innovation Hubs (EDIHs): The IsZEB Cluster and the nZEB Smart Home participate in the EDIHs, specifically engaging with the Synerginn EDIH and the SmartHealth EDIH. As part of the EDIHs, they operate as a Service Provider, offering a state-of-the-art rapid prototyping and novel technologies demonstration infrastructure, providing a tangible asset for businesses, start-ups, and research institutions to test and showcase emerging technologies. National Initiatives: • Smart Specialization Strategy (RIS3): Since its beginning, the nZEB Smart Home was linked with the RIS3 strategy. The RIS3 supported specialization sectors are correlated to Information &amp; Communication Technologies, Energy Applications/Technologies and Microelectronics – Advanced Materials. The activities interrelate mainly to the investment of creation and dissemination of new knowledge and to the investment in Research &amp; Innovation in the above topics. • Co-Financed by Greece &amp; EU (Central Macedonia Initiatives): IsZEB Cluster was established due to its participation in the programme "Cooperative formations for the promotion of innovation in local entrepreneurship". Its purpose was to promote innovation in local entrepreneurship, foster the sharing of facilities and equipment, and encourage the exchange of knowledge and expertise, networking, dissemination of information and cooperation between companies and other organizations of the cluster. Co-financing fund: European Regional Development Fund (ERDF)</t>
  </si>
  <si>
    <t>Greece</t>
  </si>
  <si>
    <t>Dimitrios Tzovaras (Nzeb Smart Home Dih)  Zoi Boutopoulou (Iszeb Cluster)</t>
  </si>
  <si>
    <t>6th km charilaou – thermi rd, 57001 Thessaloniki, Greece</t>
  </si>
  <si>
    <t>https://smarthome.iti.gr/</t>
  </si>
  <si>
    <t>construction assembly, energy, health care, security, smart city</t>
  </si>
  <si>
    <t>ecosystem building, innovation management, knowledge transfer, prototyping, sme support, technological innovation, technology transfer</t>
  </si>
  <si>
    <t>additive manufacturing, artificial intelligence decision support, big data, blockchain and distributed ledger technology dlt, cyberphysical systems, cybersecurity, gamification, high performance computing, human computer interaction, internet of things, internet services applications, virtual reality, robotics, sensors vision processing systems, simulation engineering and modelling, software architectures</t>
  </si>
  <si>
    <t>Mittelstand-Digital Zentrum Kaiserslautern</t>
  </si>
  <si>
    <t>The Mittelstand-Digital center Kaiserslautern is part of the initiative “Mittelstand-Digital“ by the German Federal Ministry for Economic Affairs and Climate Action (www.mittelstand-digital.de). The Mittelstand-Digital centres, which are located all across Germany, show how digitalisation, innovative networking solutions and Industrie 4.0 applications are used in the daily business practice and they provide active support in the implementation of projects regarding digitalisation. The Mittelstand-Digital Zentrum Kaiserslautern supports companies from Rhineland-Palatinate and beyond. We offer a broad, up-to-date wealth of knowledge and valuable practical experience in the field of Industry 4.0, AI-(Readiness), datadriven businessmodels and sustainable digitalisation. We focus especially on making the findings from many years of research and implementation work available to small and medium-sized enterprises. Funded by the German Federal Ministry for Economic Affairs and Climate Action (Bundesministerium für Wirtschaft und Klima (BMWK)) Keywords: all german SMEs</t>
  </si>
  <si>
    <t>Anne Schmallenbach</t>
  </si>
  <si>
    <t>Trippstadterstraße 122, 67663 Kaiserslautern, Germany</t>
  </si>
  <si>
    <t>https://digitalzentrum-kaiserslautern.de/</t>
  </si>
  <si>
    <t>construction assembly, consumer products, cultural and creative economy, financial, food and beverages, leather, manufacturing and processing, metal working and industrial production, nmp nonmetallic materials basic processes, personal services, real estate, retail, wholesale or distribution, telecommunications, textiles, transport sector, travel and tourism, paper and wood, polymers and plastics, security</t>
  </si>
  <si>
    <t>circular economy, innovation management, knowledge transfer, prototyping, sme support, technological innovation, technology transfer</t>
  </si>
  <si>
    <t>additive manufacturing, artificial intelligence decision support, big data, cyberphysical systems, digital twins, internet of things, sensors vision processing systems</t>
  </si>
  <si>
    <t>Mittelstand-Digital Zentrum Darmstadt</t>
  </si>
  <si>
    <t>The Mittelstand-Digital Zentrum Darmstadt supports small and medium-sized enterprises (SMEs) in their efforts to digizite their business with hands-on-oriented services. All services provided are fully funded by the Federal Ministry for Economic Affairs and Climate Action and create no additionals costs for the recipient. The service includes initial help and orientation for SMEs as well as the support of specific projects. We are also happy to visit companies and partners on site for events and technical consulting. With our online seminars, we offer easily accessible and flexible entry-level formats. We support SMEs that are operating in the manufaturing sector with six key fields of expertise: 1. digital manufaturing 2. product and service development 3. digital work 4. cybersecurity 5. climate-neutral manufacturing 6. artificial intelligence A total of seven partners are pooling their expertise in the Mittelstand-Digital Zentrum Darmstadt: The Institute PTW at TU Darmstadt, the Institutes IAD and PtU and PLCM, the Fraunhofer LBF, the Fraunhofer IGD in Darmstadt and the Chamber of Industry and Commerce in Darmstadt. The Mittelstand-Digital Zentrum Darmstadt is one of 29 centers nationwide in the Mittelstand-Digital network. With Mittelstand-Digital, the Federal Ministry for Economic Affairs and Energy supports digitalization in small and medium-sized enterprises. By working together in the network, we can offer cross-center support and always put SMEs in touch with the right partner if required.</t>
  </si>
  <si>
    <t>Nik Weisbrod</t>
  </si>
  <si>
    <t>Rheinstraße 89, 64295 Darmstadt, Germany</t>
  </si>
  <si>
    <t>https://digitalzentrum-darmstadt.de/</t>
  </si>
  <si>
    <t>construction assembly, education, energy, manufacturing and processing, metal working and industrial production, smart city</t>
  </si>
  <si>
    <t>circular economy, ecosystem building, innovation management, knowledge transfer, prototyping, public sector innovation, sme business development, sme support, technology transfer</t>
  </si>
  <si>
    <t>additive manufacturing, artificial intelligence decision support, big data, cloud services, cyberphysical systems, cybersecurity, digital twins, human computer interaction, internet of things, laserbased manufacturing and materials processing, virtual reality, robotics, sensors vision processing systems, simulation engineering and modelling</t>
  </si>
  <si>
    <t>Mittelstand-Digital Zentrum Rostock</t>
  </si>
  <si>
    <t>The Mittelstand-Digital Zentrum Rostock offers professional support and tailored solutions to small and medium-sized enterprises in Mecklenburg-Western Pomerania, that enable them to benefit from the digital transformation. With our experts and network we want to help companies to turn existing challenges into opportunities. With free events, practical presentations, certified trainings, and individual digital projects, we support SMEs on their journey into a digital company. The Mittelstand-Digital Zentrum Rostock particularly focuses on companies related to the following sectors: healthcare, medical technology, tourism, health tourism, and construction industry. Keywords: AI knowledge transfer, free workshops, e-learning, digitalchecks, demonstrations, networking, keynotes</t>
  </si>
  <si>
    <t>Silvia Rydlewicz</t>
  </si>
  <si>
    <t>Deutsche med platz 1, 18057 Rostock, Germany</t>
  </si>
  <si>
    <t>https://www.digitalzentrum-rostock.de</t>
  </si>
  <si>
    <t>construction assembly, environment, health care, life sciences, travel and tourism, polymers and plastics</t>
  </si>
  <si>
    <t>knowledge transfer, sme support</t>
  </si>
  <si>
    <t>artificial intelligence decision support, big data, cybersecurity, industrial biotechnology</t>
  </si>
  <si>
    <t>Mittelstand-Digital Zentrum WertNetzWerke</t>
  </si>
  <si>
    <t>The Mittelstand-Digital Zentrum WertNetzWerke, funded by the Federal Ministry of Economics, supports SMEs free of charge and in a provider-neutral manner in the development and implementation of sustainable and digital business ideas. The Mittelstand-Digital Zentrum WertNetzWerke, funded by the Federal Ministry of Economics, supports SMEs free of charge and in a provider-neutral manner in the development and implementation of sustainable and digital business ideas.</t>
  </si>
  <si>
    <t>Tobias Kegler</t>
  </si>
  <si>
    <t>C/o gs1 germany gmbh, maarweg 133, 50825 Köln, Germany</t>
  </si>
  <si>
    <t>https://www.mittelstand-digital-wertnetzwerke.de/</t>
  </si>
  <si>
    <t>construction assembly, consumer products, food and beverages, health care, manufacturing and processing, metal working and industrial production, real estate, textiles, transport sector, security, smart city, transport mobility</t>
  </si>
  <si>
    <t>circular economy, innovation management, knowledge transfer, public sector innovation, regional development, sme business development, sme support, technological innovation, technology transfer</t>
  </si>
  <si>
    <t>additive manufacturing, artificial intelligence decision support, big data, blockchain and distributed ledger technology dlt, cloud services, communication network, digital twins, gamification, human computer interaction, internet of things, internet services applications, locationbased applications, logistics, virtual reality, robotics, simulation engineering and modelling</t>
  </si>
  <si>
    <t>Robocoast EDIH Consortium</t>
  </si>
  <si>
    <t>Robocoast EDIH supports the manufacturing industry to use digital technology to promote sustainable growth and competitiveness (Industry 4.0). Robocoast EDIH offers one-stop access to EDIH services and networks of European best digital experts, which helps SMEs to become more skilled, innovative, and competitive. Robocoast EDIH has local service nodes and expert resources in the nine regions of Finland, where almost 50% of Finnish manufacturing companies are located. Through EDIH services, Robocoast EDIH combines the needs of the manufacturing industry with the expertise of universities and technology companies. Robocoast EDIH services have been created based on actual needs and long-term cooperation with the manufacturing industry with great results. Robocoast has been Digital Innovation HUB since 2017. Robocoast EDIH has high-level expertise in Cybersecurity and know-how to support companies to apply new digital technologies (AI, Robotics, IoT, 5G and HPC) for developing processes, products, and services. Robocoast EDIH Consortium consists of 15 universities and several RDI laboratories and testbed environments, including over 9 000 digital technology specialists and over 800 Cybersecurity, Robotics, AI, and ICT companies. Based on professionalism, testing, and R&amp;D resources of cybersecurity, The Finnish Information Security Cluster (FISC) strongly recommends the Robocoast EDIH. FISC is an organization established by major Finnish information security companies, and it has nearly 80 members. Robocoast EDIH will be one of the leading centers of cybersecurity in the Digital Europe Program.</t>
  </si>
  <si>
    <t>Finland</t>
  </si>
  <si>
    <t>Mikko Puputti</t>
  </si>
  <si>
    <t>Gallen-Kallelankatu 8, 28100 Pori, Finland</t>
  </si>
  <si>
    <t>https://robocoast.eu/</t>
  </si>
  <si>
    <t>construction assembly, defence, education, energy, energy, fuels and petroleum engineering, environment, food and beverages, health care, manufacturing and processing, maritime, metal working and industrial production, nuclear, paper and wood, security, transport mobility, transport sector, travel and tourism</t>
  </si>
  <si>
    <t>additive manufacturing, artificial intelligence decision support, big data, blockchain and distributed ledger technology dlt, cloud services, communication network, cyberphysical systems, cybersecurity, digital twins, gamification, high performance computing, internet of things, laserbased manufacturing and materials processing, locationbased applications, logistics, mobility, robotics, sensors vision processing systems, simulation engineering and modelling, software architectures, virtual reality</t>
  </si>
  <si>
    <t>pro_digital EDIH</t>
  </si>
  <si>
    <t>What are the goal and target groups of pro_digital?
The main goal of pro_digital is to become a one-stop agency for "twin digital and green transformation" in the Brandenburg region. More digitalisation, more sustainability, less resource consumption and CO2 emissions.
In the coming months and years, pro_digital will support start-ups, SMEs and midcaps (in short: SMEs) and governmental organisations (public administrations, in short: GOs for Governmental Organisations) in this transformation: higher digital maturity for a more resilient, sustainable, circular, regenerative and green economic growth. pro_digital thus also contributes to the successful structural transformation of Brandenburg. 
What does pro_digital offer?
pro_digital offers knowledge, practical know-how and access to various digital technologies to support businesses and public administrations to increase their performance and competitiveness.
pro_digital will provide a portfolio of offers for the target groups in the areas of:
Training and information
Testing environments to test technologies in real contexts 
Information on public and private funding for digital transformation</t>
  </si>
  <si>
    <t>Tobias Pradel</t>
  </si>
  <si>
    <t>Hochschulring 1, 15745 Wildau, Germany</t>
  </si>
  <si>
    <t>https://edihprodigital.eu/en</t>
  </si>
  <si>
    <t>construction assembly, education, manufacturing and processing, metal working and industrial production, public administration</t>
  </si>
  <si>
    <t>innovation management, knowledge transfer, prototyping, public sector innovation, sme support, technological innovation, technology transfer</t>
  </si>
  <si>
    <t>additive manufacturing, artificial intelligence decision support, digital twins, high performance computing, internet of things, locationbased applications, robotics, virtual reality, sensors vision processing systems, cybersecurity</t>
  </si>
  <si>
    <t>EDUPARK Nonprofit Kft.</t>
  </si>
  <si>
    <t>EDUPARK Nonprofit Kft. as vocational training provider in the South Great Plain region with practical training centres in Kecskemét and in Szeged, coordinates the Digital Innovation Hub (DIH) in Kecskemét in cooperation with the regional stakeholders as DIH Partnership. DIH Partnership brings together the main players for industrial innovation in Kecskemét with extensive cooperation links to other knowledge centers in Hungary. The technology innovation activities within the DIH Partnership are coordinated by IQ Kecskemét Industrial Research Kft. Our objective is to establish an innovation hub for manufacturing and construction on the basis of IQ Kecskemét which is a physical location for open innovation in architecture and construction industry offering prototyping facilities (CNC machines, 3D scanners and printers), vocational training site and technology development services. The medium term vision of DIH Partnership is to become the acknowledged regional center for entrepreneurial support in digital transformation of the industry which can provide practical advice and support to the SMEs in the region for their activities in digital technology development. It shall lead to the development of an eco-system for innovation that can promote the innovation culture in the central region of Hungary because knowledge based economic development should not be constrained to the capital region of Budapest. The long term objective of DIH Partnership is to play an active role in transnational cooperation for innovation in Central Europe as regional center for industrial digitalization and open innovation in selected industrial sectors and also to foster cooperation and open innovation transnationally on European level. DIH Kecskemét is active player in the support of start-up companies and young individuals that have fresh new ideas having the potential for business by digital solutions. The Digital Welfare Programme (Digitális Jólét Programme) of the Hungarian government have already defined the strategic framework for the advancement of digitalisation in Hungary therefore the local actions of DIH Kecskemét can contribute to the national initiatives (p.e. Modern Vállalkozások Programja, INPUT Program). Education with focus on Digital Skills is a new function that is promoted by the Digital Welfare Programme for benefit of society and the economy in Hungary. Consequently – with the objective to improve the digitalization of companies – the vocational training centre within the DIH Partnership delivers high quality technicians with digital skills for the current and future jobs. It is achieved by dual education schemes that allow SMEs to have a significant role in professional development of younger generation and it shall improve the human capacity of the regional industry within a few years.</t>
  </si>
  <si>
    <t>Hungary</t>
  </si>
  <si>
    <t>Tamas Gyulai</t>
  </si>
  <si>
    <t>Kecskemét, Izsaki ut 8/d, 6000, Hungary</t>
  </si>
  <si>
    <t>https://eu-mentor.hu/</t>
  </si>
  <si>
    <t>construction assembly, education, manufacturing and processing, metal working and industrial production, polymers and plastics</t>
  </si>
  <si>
    <t>circular economy, ecosystem building, innovation management, knowledge transfer, prototyping, technological innovation, technology transfer, vocational training</t>
  </si>
  <si>
    <t>additive manufacturing, high performance computing, internet of things, laserbased manufacturing and materials processing, new technologies for audiovisual sector media, robotics, simulation engineering and modelling</t>
  </si>
  <si>
    <t>digihub.li – Ecosystem innovation and growth with a regenerative purpose</t>
  </si>
  <si>
    <t>OUR PURPOSE
«We make Liechtenstein a lighthouse for positive digital transformation that connects humans through trust, transparency, and purpose-driven action.»
OUR VISION
digihub.li is a European Digital Innovation Hub in the legal form of a Liechtenstein Venture Cooperative (LVC), focused on establishing digital ecosystems for cocreation and collaboration in the token economy.We accelerate digital innovation in Liechtenstein by bringing together SMEs and the public sector in co-creation spaces to jointly tap the potential for viable business models across organizations. Communication on equal terms plays an essential role in this.Building on the forward-looking blockchain legislation in Liechtenstein, we have already invested locally in the necessary Web3 technologies and algorithms for meaningful work to provide immediate relevant offerings to SMEs and the public sector. For us, digitalization and sustainability go hand in hand.We strive for the overall goal to maintain and expand wealth and prosperity as well as attractive workplaces in Liechtenstein by leveraging digital and green transformation.
WHAT WE OFFER
DIGITAL ECOSYSTEMS
Establishing purposeful digital ecosystems, based on the needs of SMEs and the public sector in Liechtenstein
Positive digital change enables both quantitative and qualitative growth. In the future, this will be generated primarily through innovation in digital ecosystems. In these, SMEs and the public sector come together to jointly develop thematic solutions for customers. Blockchain technologies are key enablers in this regard, for example in the areas of construction or the Internet of Things (IoT). Step by step, we are bringing SMEs – from solopreneurs to larger manufacturing companies – together with public sector teams in Liechtenstein in our digital collaboration ecosystem to ensure future growth and prosperity for the country. In addition to monthly dialog formats, we are planning larger events such as a Digihub Hack Day and a Digital Innovation Day for the entire country.
SKILLS FOR DIGITAL INNOVATION
Providing the skills for and of SMEs and public sector employees to thrive in digitalization, and to facilitate the knowledge exchange between the EU and Liechtenstein
Our analysis has shown that advanced skills are associated with greater confidence in digital and sustainable transformation. We focus on providing SMEs and public sector teams with access to the best training from the European EDIH network and offer our own training courses focused on meaningful work, communication and blockchain technologies. In addition, we act as a multiplier and disseminate the use of digital competences and resources built under the Digital Europe program.
COACHING FOR POSITIVE TRANSITION
Practical, task-based coaching to enable trusted, impact-driven collaboration on complex challenges, connecting digital, sustainable and personal transformation
We work with leaders and employees to accompany their personal development from «competing against each other» to «co-creating solutions». This shift in the approach to collaboration is a prerequisite for successful work in ecosystems.We invite representatives of SMEs and the public sector in Liechtenstein to participate in our coaching program and open formats such as the «Communication Café», that enable a change of perspective and mind-opening moments in collaboration.
INNOVATION NETWORK
Hosting innovation spaces for start-ups, SMEs and investors to jointly promote and develop viable digital business models
We build and maintain structured long-term relationships with relevant local actors beyond SMEs and the public sector, including impact investors such as foundations, family offices or business angels. Also, we work together with the national authorities, chambers of commerce and industry as well as the banking association and other associations and federations. By matching innovative business models with potential investors, we contribute to the goal of the Liechtenstein government to innovate business models and attract financing for implementation projects.</t>
  </si>
  <si>
    <t>Liechtenstein</t>
  </si>
  <si>
    <t>Géraldine D'Atria</t>
  </si>
  <si>
    <t>Birkenweg 6, 9490 Vaduz, Liechtenstein</t>
  </si>
  <si>
    <t>https://www.digihub.li/</t>
  </si>
  <si>
    <t>construction assembly, communityled local development, energy, environment, manufacturing and processing, public administration, transport mobility</t>
  </si>
  <si>
    <t>circular economy, ecosystem building, innovation management, sme business development, regional development</t>
  </si>
  <si>
    <t>blockchain and distributed ledger technology dlt, artificial intelligence decision support, internet of things, mobility, virtual reality</t>
  </si>
  <si>
    <t>CETMA-Digital Innovation Hub for SMEs</t>
  </si>
  <si>
    <t>CETMA-DIHSME is the  EDIH promoted and managed by CETMA, a non-profit RTO with 30 years of experience in innovation services to SMEs in Southern Italy. In order to strengthen assistance to SMEs with skills, expertise and tools according to a ‘one stop shop’ logic, CETMA involved 13 other partners in the Hub’s service offering.
Its activities  are strongly focused on the local socio-economic reality (Puglia and Basilicata) where the partners are strongly rooted.
CETMA-DIHSME vision is  that AI, HPC and CS technologies can bring significant benefits to the development of the Territory, but this requires that anything local actors are involved such as PA and SMEs, even the smallest and even those operating in more traditional sectors.
Based on the experience of CETMA and analysis of innovation experts, CETMA-DIHSME starts from the consideration that to foster innovation in small businesses, in addition to "problem solving" services (technology consulting, research, engineering, etc.), it is necessary to support SMEs with "problem setting" services (strategic analysis, business planning, fundraising, supply chain relations, etc.).
For this reason, the EDIH CETMA-DIHSME provides an integrated offering of business and strategy-setting services and technological services.
We offer services for:  awareness building; assistance for strategic setting;  testing and development, such as feasibility studies, simulations, development of artificial intelligence applications, testing and optimization of prototypes;   testing and development in operating environments.
Attention is also dedicated to fundraising support and customised training
CETMA-DIHSME aims to trigger synergies with the relevant opportunities offered by regional, national, and European innovation policies and funding and other innovation operators affecting the same territory. It also wants to exploit the great opportunities of the creation of a structured network of EDIH to promote cohesion between European territories to take advantage of social, economic, and environmental benefits.</t>
  </si>
  <si>
    <t>Francesca Felline</t>
  </si>
  <si>
    <t>Strada statale 7 appia km 706+030 snc, 72100 Cittadella della ricerca brindisi BR, Italy</t>
  </si>
  <si>
    <t>https://www.cetma-dihsme.eu</t>
  </si>
  <si>
    <t>construction assembly, consumer products, cultural and creative economy, health care, manufacturing and processing, maritime, polymers and plastics, public administration, smart city, transport mobility, aeronautics, agricultural biotechnology and food biotechnology, automotive, communityled local development, defence, education, energy, environment, leather, life sciences, metal working and industrial production, nmp nonmetallic materials basic processes, nuclear, paper and wood, retail, wholesale or distribution, space, telecommunications, textiles, transport sector</t>
  </si>
  <si>
    <t>circular economy, innovation management, knowledge transfer, public sector innovation, regional development, sme support, technological innovation, technology transfer, ecosystem building, field trial, finance, prototyping, smart specialisation strategies, sme business development</t>
  </si>
  <si>
    <t>artificial intelligence decision support, big data, cybersecurity, gamification, high performance computing, internet of things, internet services applications, logistics, mobility, new technologies for audiovisual sector media, robotics, sensors vision processing systems, simulation engineering and modelling, virtual reality, cloud services, communication network, digital twins, human computer interaction, laserbased manufacturing and materials processing</t>
  </si>
  <si>
    <t>CeADAR Ireland’s AI EDIH</t>
  </si>
  <si>
    <t>Since 2013, CeADAR has been Ireland’s National Technology Centre for AI, delivering AI services and supports to an ecosystem of over 1200 clients (SMEs, mid-caps, public sector), via 300+ collaborative projects across four Pillars: Test-before-Invest, Skills and Training, Support to find Investment, and Ecosystem &amp; Networking. CeADAR is a leading DIH in AI; it holds BDVA/DAIRO Gold i-Space accreditation, contributes to international, national and EU Expert Groups in AI, and is a key actor in major DIH projects e.g. EUHubs4Data and DIH-World. CeADAR has strong links with AI DIHs across Europe and looks forward to more collaboration. EDIH selection would enable: · More Test-before-Invest (TBI) services to more clients · Cross-EDIH TBI partnership and contributions to DTA · TBI using DEP TEFs, Data Spaces and AI-on-demand · Transition from ad-hoc AI training to a comprehensive AI Academy, offering a range of excellent skills and training to meet industry needs · Collaboration with NovaUCD in new Supports to Find Investment that prepare clients for investment by Venture Capital, support access to national and EU funds, and stimulate in-ecosystem investment · Expansion of our Ecosystem across Europe · Partnerships with SME and business networks, to act as conduits to the EDIH and to offer EDIH services to members CeADAR as an EDIH will contribute to policy, including Europe Fit for the Digital Age, the Digital Compass, and the Green Deal. Full use will be made of EEN, Startup Europe, The EIC, Digital Europe TEFs, Data Spaces and AI-on-demand, as well the DTA and the EDIH network. CeADAR is ‘ready to go’ – core services are already active, mature governance and legal frameworks are in place since 2013, and we have excellent networks. EDIH nomination will increase our already-impressive KPIs, including number of clients, amounts of investment triggered and collaborations with other EDIHs.</t>
  </si>
  <si>
    <t>laura.plunkett@ucd.ie</t>
  </si>
  <si>
    <t>Block 9/10 NexusUCD, Dublin, Co. Dublin, D04 V2N9, Ireland</t>
  </si>
  <si>
    <t>http://ceadar.ie</t>
  </si>
  <si>
    <t>construction assembly, agricultural biotechnology and food biotechnology, consumer products, cultural and creative economy, defence, energy, transport mobility, transport sector, mining and extraction, education, financial, health care, life sciences, defence, environment, manufacturing and processing, smart city, space</t>
  </si>
  <si>
    <t>prototyping, innovation management, public sector innovation, smart specialisation strategies, sme support, technology transfer, sme business development</t>
  </si>
  <si>
    <t>artificial intelligence decision support</t>
  </si>
  <si>
    <t>INNOFEIT European Digital Innovation Hub: One-stop shop for digital and green transformation in the Republic of North Macedonia</t>
  </si>
  <si>
    <t>INNOFEIT EDIH aims to upskill and increase the competitiveness of Small and Medium-sized Enterprises (SMEs) and Public Sector Organizations (PSOs) in North Macedonia through strategic adoption of digital technologies via prototyping, testing, training and access to needed resources. With a tailored focus on SMEs in manufacturing, agriculture, smart buildings and materials, and energy sectors, outlined in the Smart Specialization Strategy of the Republic of North Macedonia, INNOFEIT EDIH aims to deliver customized services to meet specific industry needs. Furthermore, it seeks to enhance public administration agility and data-driven decision-making processes. As a result, INNOFEIT EDIH efforts will strongly accelerate the digitalization of the Macedonian society and increase its resilience in the following years.
Operating across the entirety of North Macedonia, INNOFEIT EDIH offers geographical coverage and technical integration of partners’ expertise in a single entity with added value for the clients. The INNOFEIT EDIH aspires to integrate into a pan-European network of advanced testing facilities, collaborating with various regions and EDIHs to offer specialized services for SMEs at a European scale.
INNOFEIT EDIH builds upon the established groundwork of INNOFEIT DIH in terms of crucial infrastructure and expertise. The INNOFEIT DIH is recognized as the only fully operational digital innovation hub in North Macedonia by JRC in 2021. Alongside its core Test before Invest service, INNOFEIT DIH offers an array of digital skills training programs and maintains a robust partner network, facilitating access to tailored financial opportunities for target groups. The primary aim of the proposed project is to augment these services through collaboration with new partners, leveraging their resources and expertise to achieve recognition and integration within the European network of EDIHs.
 </t>
  </si>
  <si>
    <t>North Macedonia</t>
  </si>
  <si>
    <t>Dimitar Tashkovski</t>
  </si>
  <si>
    <t>Rugjer Boskovic str. 18, 1000 Skopje, North Macedonia</t>
  </si>
  <si>
    <t>http://www.innofeit-edih.mk/</t>
  </si>
  <si>
    <t>education, electricity, energy, environment, health care, manufacturing and processing, metal working and industrial production, public administration, security, smart city, space, telecommunications, transport mobility, transport sector, travel and tourism</t>
  </si>
  <si>
    <t>circular economy, ecosystem building, field trial, knowledge transfer, prototyping, public sector innovation, regional development, smart specialisation strategies, sme business development, sme support, technological innovation, technology transfer, vocational training</t>
  </si>
  <si>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quantum technologies computingcommunication, robotics</t>
  </si>
  <si>
    <t>EDIH Anadolu</t>
  </si>
  <si>
    <t>The EDIH-Anadolu consortium unites 17 distinguished partners with extensive expertise in collaboration and innovation, forming a strong foundation to advance digital transformation. Coordinated by the Adana Chamber of Industry, the consortium comprises 16 diverse organizations, including 3 regional development agencies, 4 science and technology centers, 5 universities, 2 model factories, and 2 organized industrial zones.
Covering nine provinces—Adana, Adıyaman, Gaziantep, Hatay, Kahramanmaraş, Kilis, Konya, Mersin, and Osmaniye—the hub serves a population of nearly 13 million (15% of Türkiye) and spans an area of 109,480 square kilometers. The region generates an annual export volume of $30 billion (2022), with 40% directed to the EU, and is home to 82 companies ranked among Türkiye's top 500 industrial enterprises.
EDIH-Anadolu aims to establish a vibrant ecosystem for digital innovation, empowering local SMEs, entrepreneurs, and public institutions. With a focus on key sectors such as textiles, food, metals, machinery, and public services, the hub promotes digital transformation through state-of-the-art technologies, including artificial intelligence, cybersecurity, and advanced digital tools. By evaluating digital maturity, developing tailored digitalization roadmaps, and delivering feasibility reports, EDIH-Anadolu equips businesses to adopt and test digital solutions effectively.
Aligned with the European Green Deal, EDIH-Anadolu emphasizes sustainability and environmentally friendly practices. Through its extensive network, the hub offers specialized training to develop digital mentors, connects businesses with technology providers and investors, and actively participates in capacity-building initiatives under the Digital Transformation Accelerator. By fostering innovation, sustainability, and competitiveness, EDIH-Anadolu is set to become a regional leader in driving digital transformation across industries.</t>
  </si>
  <si>
    <t>Türkiye</t>
  </si>
  <si>
    <t>Halis Can SIRE</t>
  </si>
  <si>
    <t>Doseme Mah. Turhan Cemal Beriker Bul No:134 Seyhan, 01130 Adana, Türkiye</t>
  </si>
  <si>
    <t>https://adaso.org.tr/</t>
  </si>
  <si>
    <t>education, energy, food and beverages, manufacturing and processing, metal working and industrial production, textiles, construction assembly, paper and wood, automotive</t>
  </si>
  <si>
    <t>field trial, knowledge transfer, regional development, sme business development, sme support, vocational training, circular economy, ecosystem building, public sector innovation, innovation management</t>
  </si>
  <si>
    <t>internet of things, logistics, sensors vision processing systems, additive manufacturing, bi tools</t>
  </si>
  <si>
    <t>Digital Innovation Unit</t>
  </si>
  <si>
    <t>The Digital Innovation Unit (DIU) is a leading-edge hub in Albania, fostering digital transformation by supporting entrepreneurs, startups, and SMEs. DIU provides a broad spectrum of digitalization services, technology training, networking opportunities, and a dedicated space to test innovations. The unit focuses on key digital domains including Artificial Intelligence, Cybersecurity, Programming, Data Science, Virtual Reality, Blockchain, Animation, and Robotics, ensuring companies increase efficiency, optimize resources, and enhance profitability.</t>
  </si>
  <si>
    <t>Albania</t>
  </si>
  <si>
    <t>Ami Çarçani</t>
  </si>
  <si>
    <t>DESHMORET E 4 SHKURTIT, 1001, Tirana, Albania</t>
  </si>
  <si>
    <t>https://meki.gov.al/</t>
  </si>
  <si>
    <t>education, financial, manufacturing and processing, public administration, retail, wholesale or distribution, smart city, transport mobility, health care</t>
  </si>
  <si>
    <t>sme support, technological innovation, technology transfer, vocational training, prototyping, ecosystem building, innovation management</t>
  </si>
  <si>
    <t>artificial intelligence decision support, cybersecurity, blockchain and distributed ledger technology dlt, cloud services, internet of things, software architectures, virtual reality, robotics</t>
  </si>
  <si>
    <t>Cybersecurity and digital competencies</t>
  </si>
  <si>
    <t>DigitalTech EDIH is the reference Hub in Hungary to support start-ups, SMEs, mid-caps and public sector entities in their digital transformation focusing on key pillars of European priorities. DigitalTech EDIH relies on its ecosystem to address major issues of cybersecurity and digital competencies including blockchain technology, education technology and digital finance. Based on its partner’s expertise DigitalTech EDIH will deliver expertise to its clients through our service catalogue, which covers four components including skills and training, test before invest, innovation ecosystem and networking and support to find investments, along with other business development services and technology-related advisory. DigitalTech EDIH will also have the opportunity to offer its services to the other Hungarian EDIHs, regional EDIHs as well as to the pan-European network of EDIHs, in line with the European Regional Innovation Strategy. DigitalTech EDIH is part of the European Corridor of Cybersecurity EDIHs (ECCE), a network of EDIHs supported by the European Cyber Security Organisation (ECSO) and specifically dedicated to cybersecurity in order to enhance our collective actions. DigitalTech EDIH will act as a catalyst for these ecosystems and will contribute to their digital transformation, thus strengthening its resilience and ensuring its sustainability for Hungary and the region and making contributions to realising the ambitions of building and sustaining a competitive European digital workforce for the Digital Decade and beyond.</t>
  </si>
  <si>
    <t>Tuan Trinh</t>
  </si>
  <si>
    <t>Budapest, Bogdanfy utca 10/a., 1117, Hungary</t>
  </si>
  <si>
    <t>education, financial, public administration</t>
  </si>
  <si>
    <t>knowledge transfer, sme business development, vocational training, public sector innovation</t>
  </si>
  <si>
    <t>blockchain and distributed ledger technology dlt, cybersecurity, cyberphysical systems</t>
  </si>
  <si>
    <t>SEEU TechPark EDIH</t>
  </si>
  <si>
    <t>SEEU Tech Park aims at providing conditions to stimulate the creation of new start-up companies, make a synergy between the companies and encourage the growth of the existing small and medium sized enterprises (SMEs), resulting in generating new job opportunities. SEEU Tech Park’s mission is the development of start- up knowledge based companies at SEEU, designed to create and foster an entrepreneurial culture among faculty, researchers, and students of SEEU, as well as commercialization of scientific and technological knowledge. Its vision is to create an environment within the University that will forge closer ties and endure links between academia and the industry in order to convert knowledge and expertise into Action, Production and Investment.</t>
  </si>
  <si>
    <t>Blerina Zendeli</t>
  </si>
  <si>
    <t>Ilindenska, no. 335, 1200 Tetovo, North Macedonia</t>
  </si>
  <si>
    <t>https://www.seeu.edu.mk/</t>
  </si>
  <si>
    <t>education, environment, manufacturing and processing, public administration, security, smart city, transport mobility</t>
  </si>
  <si>
    <t>circular economy, innovation management, knowledge transfer, prototyping, regional development, smart specialisation strategies, sme business development, sme support, technological innovation, technology transfer, vocational training</t>
  </si>
  <si>
    <t>artificial intelligence decision support, bi tools, big data, communication network, cyberphysical systems, cybersecurity, digital twins, human computer interaction, internet of things, mobility, software architectures, virtual reality</t>
  </si>
  <si>
    <t>FactoryxChange</t>
  </si>
  <si>
    <t>Manufacturing Digital Transformation
The FactoryXChange (FXC), European Digital Innovation Hub (EDIH) will enable Industry 5.0 factories to integrate ecological, digital, and societal solutions into their core business models. FxC is best positioned to support the ambitions of the Digital Europe Programme 2021-2027 to ensure that Europe embraces the digital transformation of the economy and society and brings its benefits to businesses and citizens.
FxC will extend digital competencies (high performance computing, artificial intelligence, and cybersecurity) and advanced skills in digital technologies to stakeholders, particularly Small and Medium-sized Enterprises (SMEs), contributing to Europe’s strategic autonomy, and accelerating deployment and best use in areas of public interest and the private sector. FxC will operationalise Ireland’s Smart Specialisation Strategy priority areas of Manufacturing (Industry5.0) and where industry overlaps with ICT, energy, health, and Key Digital Technologies considering the ethical, security, data, and equality challenges.
The overall objective of FxC is to realise the EDIH as a one-stop-shop with impact. Operationalising an Industry 5.0 EDIH that responds to customer needs in a fast flexible manner, removing financial and operational barriers, by disrupting the way we make things through digital innovations and knowledge exchange. No matter where you are on the island of Ireland you are never more than a 90-minute journey (or a few clicks online) from a trusted broker (Digital Strategist) your connection to the digital capacities offered through FxC.
FXC integrates the world-class technical competencies of ICHEC (the National Centre for high performance computing) and INSIGHT (the National Centre for data analytics) to realise a state-of-the-art offering for Enterprise, augmented by the services of at three additional Digital Innovation Hubs in advanced digital capacity and skills, available through Irish Manufacturing Research (IMR), Technological University of the Shannon (TUS) and Data Value Hub (DVH) with KPMG Future Analytics adding to the digital solutions and digital interoperability, with a particular focus on Public Organisations.</t>
  </si>
  <si>
    <t>Irish Manufacturing Research</t>
  </si>
  <si>
    <t>National Science Park, Mullingar, Co. Westmeath, N91 TX80, Ireland</t>
  </si>
  <si>
    <t>https://www.factoryxchange.ie/</t>
  </si>
  <si>
    <t>education, financial, manufacturing and processing, metal working and industrial production</t>
  </si>
  <si>
    <t>circular economy, sme support, sme business development, knowledge transfer, finance, innovation management, technology transfer, technological innovation</t>
  </si>
  <si>
    <t>data, additive manufacturing, artificial intelligence decision support, big data, internet of things, internet services applications, robotics, simulation engineering and modelling, cybersecurity</t>
  </si>
  <si>
    <t>Thessaloniki Innovation Ecosystem</t>
  </si>
  <si>
    <t>OK!Thess provides entrepreneurial training to start-ups and SMEs in various topics, giving access to methodological tools needed. It runs training programs in the fields of Financial Management and Fundraising methods, Product Development, Market and Competition, Business Model Discovery and Company’s development Vertical Expertise. We provide one-to-one coaching to start-ups and SMEs exploiting its team expertise as well as industry experts from its network of mentors. We organize and participate in networking events engaging its network of investors and big corporates that have already participated in the events organised by the accelerator.</t>
  </si>
  <si>
    <t>Antonios Ilias</t>
  </si>
  <si>
    <t>2 komotinis street, 54655 Thessaloniki, Greece</t>
  </si>
  <si>
    <t>https://okthess.gr/</t>
  </si>
  <si>
    <t>education, life sciences, personal services</t>
  </si>
  <si>
    <t>ecosystem building, innovation management, knowledge transfer, public sector innovation, sme business development, sme support</t>
  </si>
  <si>
    <t>communication network</t>
  </si>
  <si>
    <t>Mittelstand-Digital Zentrum Hannover</t>
  </si>
  <si>
    <t>The Mittelstand-Digital Zentrum Hannover offers company meetings, training and support for digitalization and AI projects in companies. Thanks to funding from the Federal Ministry for Economic Affairs and Climate Action, the center's services are free of charge. The aim of the center is to enable companies to independently create the conditions to drive forward digitalization measures and use artificial intelligence.</t>
  </si>
  <si>
    <t>Gerold Kuiper</t>
  </si>
  <si>
    <t>Osteriede 6, 30827 Garbsen, Germany</t>
  </si>
  <si>
    <t>https://digitalzentrum-hannover.de/</t>
  </si>
  <si>
    <t>education</t>
  </si>
  <si>
    <t>innovation management, knowledge transfer, prototyping, public sector innovation, regional development, smart specialisation strategies, sme support, technological innovation, technology transfer</t>
  </si>
  <si>
    <t>artificial intelligence decision support, big data, cybersecurity, digital twins, internet of things, virtual reality</t>
  </si>
  <si>
    <t>Mittelstand-Digital Zentrum Schleswig-Holstein</t>
  </si>
  <si>
    <t>Das Mittelstand-Digital Zentrum Schleswig-Holstein ist ein vom BMWK gefördertes Projekt, um KMU bei der Digitalisierung zu unterstützen. Im Rahmen dessen befassen wir uns hauptsächlich mit den Themen KI, IoT, Sensorik, vernetzte Produktion, Digitaler Zwilling, AR/VR sowie Changemanagement und Geschäftsmodelle. In diesem Spektrum bieten wir kostenlose Informationsveranstaltungen, Sprechstunden, Workshops oder Projekte an.
 __________
The Mittelstand-Digital Zentrum Schleswig-Holstein is a project funded by the BMWK to support SMEs with digitalization. Within this framework, we mainly deal with the topics of AI, IoT, sensor technology, networked production, digital twin, AR/VR as well as change management and business models. Within this spectrum, we offer free information events, consultation hours, workshops and projects.</t>
  </si>
  <si>
    <t>Regine Schlicht</t>
  </si>
  <si>
    <t>Luisenstraße 26, 24149 Kiel, Germany</t>
  </si>
  <si>
    <t>https://www.digitalzentrum-sh.de/</t>
  </si>
  <si>
    <t>education, health care, life sciences, manufacturing and processing, metal working and industrial production, regulation</t>
  </si>
  <si>
    <t>innovation management, knowledge transfer, prototyping, regional development, sme business development, sme support, technological innovation, technology transfer</t>
  </si>
  <si>
    <t>additive manufacturing, artificial intelligence decision support, big data, cyberphysical systems, digital twins, high performance computing, human computer interaction, internet of things, virtual reality, robotics, sensors vision processing systems, simulation engineering and modelling</t>
  </si>
  <si>
    <t>Transferstelle Cybersicherheit im Mittelstand</t>
  </si>
  <si>
    <t>The Cybersecurity Transfer Office for SMEs supports small and medium-sized enterprises, craft businesses and start-ups free of charge in preventing, detecting and responding to cyberattacks. Through information and qualification formats, numerous events throughout Germany, a detection and response platform for cyberattacks and a broad network of partners, we aim to increase the level of cybersecurity in SMEs and thus make German SMEs more resilient. The SME sector, represented by BVMW e. V., acts as consortium leader of the project and works closely with the specialist partners FZI Forschungszentrum Informatik in Karlsruhe, Leibniz Universität Hannover - Institut für Berufspädagogik und Erwachsenenbildung and tti Technologietransfer und Innovationsförderung Magdeburg GmbH. The project is supported by various partners, including Deutschland sicher im Netz e. V. The SME Digital Network offers comprehensive support for digitalization with the SME Digital Centres, the IT Security in Business funding priority and Digital Now. Small and medium-sized enterprises benefit from concrete practical examples and tailor-made, provider-neutral offers for qualification and IT security. The Federal Ministry for Economic Affairs and Climate Protection enables free use and provides financial subsidies. Keywords: Cyber Security</t>
  </si>
  <si>
    <t>Marc Dönges</t>
  </si>
  <si>
    <t>Der mittelstand, bvmw e. v., potsdamer straße 7, 10785 Berlin, Germany</t>
  </si>
  <si>
    <t>https://transferstelle-cybersicherheit.de/</t>
  </si>
  <si>
    <t>education, security</t>
  </si>
  <si>
    <t>knowledge transfer, sme support, technology transfer</t>
  </si>
  <si>
    <t>cybersecurity</t>
  </si>
  <si>
    <t>Consorzio Intellimech</t>
  </si>
  <si>
    <t>Consorzio Intellimech is a private non-profit research consortium founded in Bergamo in 2007 to fill the gap between the research and the industrial sector, promoting the collaboration of companies of different sizes and from various industrial domains. The consortium currently involves more than 50 high-tech enterprises, making it one of the most important Italian private initiatives in this field. Intellimech's research activity is primarily focused on the Smart Factory field, which includes advanced electronics, Data Analytics, AI, ICT, Augmented/Virtual Reality, robotics and human-robot interaction. Intellimech manages applied R&amp;D and interdisciplinary experimental activities into pre-competitive technological platforms and prototype production for innovative infra-sectorial applications to serve the partners. Moreover, Intellimech has experience implementing products and services relying on the outcomes from shared research activities and concretized through vertical projects tailored for specific partners. Intellimech is active at a national and international level as a member of associations. Italian associations: (i) one of the founders of Associazione Fabbrica Intelligente Lombardia (AFIL, more than 150 associates); (ii) member of Cluster tecnologico nazionale Fabbrica Intelligente (CFI, more than 300 associates). European associations: (i) full member of Big Data Value Association (BDVA, more than 230 members); (ii) member of the Digital Factory Alliance (DFA, 7 members and 12 lighthouse factories); (iii) associate member of FIWARE (more than 140 members); (iv) network partner of EIT Manufacturing (more than 130 partners). Keywords: Robotics, AR/VR</t>
  </si>
  <si>
    <t>Alissa Zaccaria</t>
  </si>
  <si>
    <t>Via stezzano, 87, 24126 Bergamo BG, Italy</t>
  </si>
  <si>
    <t>https://www.intellimech.it/en/</t>
  </si>
  <si>
    <t>education, manufacturing and processing</t>
  </si>
  <si>
    <t>ecosystem building, field trial, innovation management, knowledge transfer, prototyping, sme support, technological innovation, technology transfer</t>
  </si>
  <si>
    <t>artificial intelligence decision support, digital twins, human computer interaction, internet of things, logistics, virtual reality, robotics, sensors vision processing systems, simulation engineering and modelling, software architectures, simulation engineering and modelling</t>
  </si>
  <si>
    <t>advanCed digitAl TeChnology Hub for the Life Sciences at MIND</t>
  </si>
  <si>
    <t>The CATCH atMIND SoE project for an European Digital Innovation Hub in the digital health domain relies on the experience of top academic and industrial partners in Italy's healthcare industry core, the Region of Lombardy. It is based on the notion that building the digital health ecosystem of the future is a journey whose starting point is data. CATCH atMIND delivers a portfolio of services based on bio-data secure collection and in silico analytics via AI-ML models, providing novel insight and generating business value for the Italian and European healthcare ecosystems. 
It supplies, in a realistic though virtualized context, digital services that support product and service innovation in the whole healthcare business ecosystem. CATCH atMIND test-before-invest services span the entire healthcare domain, supporting experiential training and business development across the ecosystem and facilitating access to funding for new entrepreneurial initiatives. 
Through its business development and access to funding services, CATCH atMIND helps existing companies to grow and increase the success rate of innovative entrepreneurial initiatives in digital health but also to explore new business model and access funding at local and European level. The adoption of the CATCH atMIND service portfolio will spread sound practices for secure biodata management and for the deployment of AI-ML in the pharma and healthcare sectors, profoundly transforming healthcare innovation as well as its operational model and user/patient experience. 
CATCH atMIND will be an active part of the European network of healthcare hubs, as a founding member of a corridor bringing together like-minded innovation hubs from all Europe.</t>
  </si>
  <si>
    <t>Fulvio FRATI</t>
  </si>
  <si>
    <t>Via Festa del Perdono 7, 20122 Milano MI, Italy</t>
  </si>
  <si>
    <t>education, financial, health care, life sciences, public administration</t>
  </si>
  <si>
    <t>ecosystem building, innovation management, prototyping, sme business development, sme support, technological innovation, technology transfer</t>
  </si>
  <si>
    <t>artificial intelligence decision support, cloud services, cyberphysical systems, cybersecurity, digital twins, simulation engineering and modelling, industrial biotechnology</t>
  </si>
  <si>
    <t>Center for Innovative Healthcare</t>
  </si>
  <si>
    <t>Project Center for Innovative Healthcare (EDIH) is a one-stop-shop EDIH with a mission to accelerate digitalization and innovation in Slovakia. EDIH will improve the healthcare system, a crucial sector with potential for large-scale deployment of proposed solutions. The establishment of the Center will increase excellence and trust in health-related technologies and lead to more precise diagnosis, better prevention of diseases, and more effective treatments. The fact is that universal solutions cannot reach excellence. Therefore, our EDIH focuses on one substantial area – healthcare. EDIH’s services cover cutting-edge technologies such as cybersecurity, high-performance computing (HPC), artificial intelligence (AI), telemedicine, the Internet of Things (IoT), or robotics. Our services are designed to meet better the needs healthcare industry covering key service areas (1) Test before invest. (2) Skills and training, (3) Support to find investment, (4) Innovation ecosystem and networking, and (5) Support to the public sector. To execute these services, EDIH offers an excellent portfolio of advanced digital technologies and open access to cutting-edge testing facilities. The strong consortium consists of eleven members and two affiliated partners and offers expertise in all critical areas of innovation and digital transformation, including reaching the target groups. At the core of the EDIH, the two most prestigious universities provide expertise and access to labs together with affiliated partners. Moreover, there are 13 associated partners: Slovakia’s Ministry of Health, Ministry of Defence, etc. EDIH will significantly impact healthcare in Slovakia, potentially spilling over across Europe. At least 450 organizations will benefit from a considerable increase in their Digital Maturity index. Project estimates to trigger a minimum of €6 mil. of additional investment and increase market maturity of involved start-ups.</t>
  </si>
  <si>
    <t>Tatiana Pekarcikova</t>
  </si>
  <si>
    <t>Dunajská 25, 81108 Bratislava, Slovakia</t>
  </si>
  <si>
    <t>https://www.healthhub.sk/</t>
  </si>
  <si>
    <t>education, health care</t>
  </si>
  <si>
    <t>innovation management, public sector innovation, sme business development, sme support, technological innovation</t>
  </si>
  <si>
    <t>bi tools, data, artificial intelligence decision support, communication network, cybersecurity, internet of things</t>
  </si>
  <si>
    <t>Intelligent Factory and Robotics Laboratory</t>
  </si>
  <si>
    <t>Intelligent Factory and Robotics Laboratory (IFARLAB) support tools for boosting business competitiveness through the use of digital technologies to improve business or production processes, products and services. IFARLAB is also a one-stop-shop for testing before investment.  The mission is to increase the competitiveness of companies by bringing together in an ecosystem.
IFARLAB services including but not limited to:
Research and Development: the IFARLAB provides brokerage with the right institute within CISAR and Eskisehir Osmangazi University or other institutions within the hub for research and development.
Prototyping: Through various well-equipped workshops within the hub, the IFARLAB helps to bring ideas to life.
Facilities: The IFARLAB can arrange for facilities such as specialized equipment or labs.
Testing and Certification: Partners within the hub can offer realistic factory simulation facilities. Besides, support is also given for ethical and legal aspects that available.
Finance: Information on funding opportunity. Help on building consortia for projects and on designing of concepts.</t>
  </si>
  <si>
    <t>Ahmet Yazıcı</t>
  </si>
  <si>
    <t>Eskisehir Osmangazi Universitesi, Büyükdere Mah, 26040 Odunpazarı, Eskisehir Turkiye, Türkiye</t>
  </si>
  <si>
    <t>https://ifarlab.ogu.edu.tr/</t>
  </si>
  <si>
    <t>education, manufacturing and processing, energy, transport mobility</t>
  </si>
  <si>
    <t>ecosystem building, sme support, knowledge transfer, prototyping, vocational training</t>
  </si>
  <si>
    <t>artificial intelligence decision support, logistics, robotics, internet of things, digital twins</t>
  </si>
  <si>
    <t>Mittelstand-Digital Zentrum Handel</t>
  </si>
  <si>
    <t>The Mittelstand-Digital Zentrum Handel is the sector-specific contact point for small and medium-sized retail and wholesale companies in Germany. It supports SMEs in making their business models sustainably future-proof with the help of digital applications and technologies. Funded by the Initiative Mittelstand-Digital of the Federal Ministry of Economics and Climate Protection, the centre is made up of the German Retail Association (HDE), ibi research, EHI Retail Institute, IFH Cologne and the German Research Centre for Artificial Intelligence (DFKI).</t>
  </si>
  <si>
    <t>Marilyn Repp</t>
  </si>
  <si>
    <t>Spichernstraße 55, 50672 Köln, Germany</t>
  </si>
  <si>
    <t>https://digitalzentrumhandel.de/</t>
  </si>
  <si>
    <t>retail, wholesale or distribution</t>
  </si>
  <si>
    <t>circular economy, finance, knowledge transfer, sme support, technological innovation</t>
  </si>
  <si>
    <t>blockchain and distributed ledger technology dlt, cybersecurity, digital twins, gamification, logistics, virtual reality, robotics</t>
  </si>
  <si>
    <t>Tuscany EU Digital Innovation Hub</t>
  </si>
  <si>
    <t>Tuscany X.0 (TX0) is a federation of all the main Tuscany players of research and technology transfer. It is composed of 3 System integrators, 3 Access points and 13 Providers. While the Research and Technology Transfer ecosystem is rich of highly qualified institutions at top levels in research and advanced applications, the industrial environment in the region is fragmented and composed of a myriad of SMEs, too often the last sacrificial elements of long international supply chains. TX0 aims at becoming a No-Profit System Integrator able to coordinate the technology transfer ecosystem to support the sustainable growth of the regional economy, in parallel with the enhancement of its public entities, and to concur with the other EDIHs to Europe technological independence. Tuscany needs a system integrator with a clear aim to show applied results before asking the entrepreneurs’ and PA managers’ commitment and investments. TX0 does not focus on technology transfer of R&amp;D ideas and technologies with low TRL, but, instead, promotes the adoption of advanced technologies through their intelligent customization to the real industrial needs, requirements and constraints. We strongly believe that AI, CS and HPC have to be considered as a bundle and a powerful toolbox for enhancing the digital maturity level of the industry and PA in Manufacturing, Healthcare, Tourism,etc.TX0 management system is driven by the EDIH call’s goals, declined into specific project objectives, measured by key results, that are obtained through activities, monitored by specific KPIs with pre-defined targets to achieve (in terms of provided services). Such management system will be implemented in a Customer Relationship Management software that will be used to track the project and to transfer the funds to partners according to the real targets they achieved. This meritocratic and evidence-based approach promotes the effectiveness of activities, their quality and lets best practices to emerge.</t>
  </si>
  <si>
    <t>ANDREA DI BENEDETTO</t>
  </si>
  <si>
    <t>Via Mario Giuntini 13, Navacchio, 56021 Cascina PI, Italy</t>
  </si>
  <si>
    <t>travel and tourism, agricultural biotechnology and food biotechnology, health care, life sciences, manufacturing and processing, public administration</t>
  </si>
  <si>
    <t>ecosystem building, innovation management, technology transfer, sme support, technological innovation, technology transfer</t>
  </si>
  <si>
    <t>artificial intelligence decision support, cybersecurity, high performance computing, internet of things, big data, blockchain and distributed ledger technology dlt, additive manufacturing, cloud services, digital twins, logistics, robotics, sensors vision processing systems, virtual reality</t>
  </si>
  <si>
    <t>Digital Innovation Hub of the Balearic Islands in Artificial Intelligence in Tourism and the Agrifood sectors</t>
  </si>
  <si>
    <t>Being islands, the region of the Balearic Islands faces important challenges when it comes to digitalisation. DIHBAI-TUR was born with the objective of being an umbrella for all actors representing the Balearic Islandsâ€™ digital and innovation ecosystem, and therefore it is the only DIH in the region. DIHBAI-TUR will use tourism, as the main industry, to leverage other industrial sectors, with a special focus on Agrifood, in their digital transformation process while becoming a reference model in Artificial Intelligence applied to tourism. Addressed mainly to SMEs, DIHBAI-TUR offers a sound catalogue of services that combines training, networking, test before invest and access to funding actions. DIHBAI-TUR has already promoted the creation of a specific network of DIHs for islands (iSLANDIHS). It is part of the most important DIH networks, and it is working to create a DIH network specialising in tourism. All these networks, the contacts made, and our experience will contribute to the EDIH. As a very active DIH, DIHBAI-TUR will contribute and participate in the activities foreseen by the DTA, reinforcing the role of Europe as a worldwide leader in tourism thanks to digitalisation and therefore help to accelerate tourismâ€™s recovery. Train for trainers activities will be an important tool to transfer knowledge to the territory of the Balearic Islands through a sound ecosystem that will be managed under the umbrella of DIHBAI-TUR. DIHBAI-TUR presents a solid workplan based on five interrelated Work packages aimed to offer dedicated and focused services to SMEs and public bodies with the final objective of increasing the number of companies our DIH provides services to, improving their digital maturity and, therefore, their competitiveness and productivity, as well as offering services that go from the most basic digital requirements to the most advances ones, combining the knowledge and expertise of all the entities that are part of the DIHBAI-TUR Consortium.</t>
  </si>
  <si>
    <t>Miquel Lluís Mestre</t>
  </si>
  <si>
    <t>Estudio general, 7, 07001 Palma Balears, Spain</t>
  </si>
  <si>
    <t>https://dihbai-tur.com</t>
  </si>
  <si>
    <t>travel and tourism, agricultural biotechnology and food biotechnology, cultural and creative economy</t>
  </si>
  <si>
    <t>ecosystem building, circular economy, innovation management, knowledge transfer, prototyping, regional development, public sector innovation, smart specialisation strategies, sme business development, technological innovation, sme support, technology transfer, vocational training</t>
  </si>
  <si>
    <t>artificial intelligence decision support, big data, cloud services, communication network, cyberphysical systems, cybersecurity, digital twins, internet of things, internet services applications, mobility, sensors vision processing systems, software architectures</t>
  </si>
  <si>
    <t>EDIH for crowd technology and AI for motion data analytics: Use of Internet of Things, FabLabs and access to finance for the green and digital transformation of the alpine tourism and sports industry</t>
  </si>
  <si>
    <t>Crowd in Motion is an EDIH aiming to accelerate the use of crowd technology and AI for motion data analytics through Internet of Things (IoT), FabLabs and access to finance for the green and digital transformation of the alpine tourism and sports industry. It effectively meets the needs of digital transformation in these sectors, e.g. lack of SME capacity, technology-strategic and operational issues and difficulties of digitalisation (cf. EC study on digitalisation in tourism 2018). Crowd in Motion contributes to the EU twin green and digital transition approach explored with the help of the innovative power of startups, SMEs and creative citizens. Based on a bottom up innovation approach, it uses crowd intelligence to identify citizen and customer needs and future market potential. Crowd in Motion’s broad portfolio comprises 68 digital innovation services focusing on SMEs’ individual training requirements and digital innovation maturity. The EDIH provides five regional experimentation facilities in digital fabrication and IoT labs (data sandboxes) in order to develop and test the added value of data based solutions for sustainable tourism. It offers access to finance for SMEs by leveraging private funds e.g. through crowdfunding support, matching initiatives with green public investments and innovative public procurement. The Crowd in Motion consortium is composed of 7 complementary partners and 45 committed national and European networks and experts.</t>
  </si>
  <si>
    <t>Veronika Hornung-Prähauser</t>
  </si>
  <si>
    <t>Jakob-Haringer-Strasse 5/3, 5020 Salzburg, Austria</t>
  </si>
  <si>
    <t>https://www.crowd-in-motion.eu</t>
  </si>
  <si>
    <t>travel and tourism, communityled local development, public administration, transport mobility, smart city</t>
  </si>
  <si>
    <t>ecosystem building, field trial, innovation management, public sector innovation, sme business development, prototyping, technological innovation, finance</t>
  </si>
  <si>
    <t>internet of things, internet services applications, locationbased applications, sensors vision processing systems, gamification, artificial intelligence decision support</t>
  </si>
  <si>
    <t>CYBERsecurity 4 All STAkeholdeRs</t>
  </si>
  <si>
    <t>Engaging Bulgarian (and European) SMEs, mid-caps and public sector organizations (PSOs) in wide-scale digital transformation has been a challenging endeavor over the past decade. Costs reduction, operations efficiency optimization, and citizens’ empowerment triggered deployment of diverse ICT technologies across the Union, however at disparate speed and penetration levels, and often in a fragmented mode.
Imminent cybersecurity threats ranging from lower level impact attacks, e.g. script kiddies, malware, etc. to highly sophisticated operations launched by cyber terrorists or state-sponsored actors are major challenges, which seem to be equally ambiguously addressed across the Union, leaving some stakeholders significantly more vulnerable than others. Ca. 60% of Dutch and German SMEs maintain log files for analysis after security incidents,while only 16-20% of Romanian and Bulgarian SMEs find it important to analyze those. Likewise, a cybersecurity breach landmark event of occurred in 2019 when the Bulgarian National Revenues Agency database was hacked, and personal data of more than 70% of all Bulgarian nationals was released online. 
To bridge the cybersecurity divide in Bulgaria and the EU, the Digital Innovation Hub "Trakia" was formed as an association in the South-Central Region of Bulgaria in 2021, and the "CYBER4AllSTAR" EDIH project was launched in early 2023, offering cybersecurity expertise, access to experimentation facilities and services, access to finance, and ecosystem networking with disruptive technology suppliers in line with the EDIH Trakia service proposition.
The Hub, coordinated by the oldest business union in Bulgaria (UPEE, member of ECSO), in collaboration with other Cybersecurity EDIHs across Europe (via the European Corridor of Cybersecurity EDIHs, initiated in 2022 by ECSO), is intended to offer a full range of cybersecurity services to all stakeholders with a special focus on SMEs, mid-caps and PSOs. Additionally, AI and HPC services are foreseen to be channeled to end users using the EDIH Network DTA-assisted capabilities. 
The ultimate goal is to make it easy, cost-efficient and technologically-friendly to learn about and to adopt cybersecurity solutions, powered by HPC and AI (among other technologies) on a mass and integrated scale.
 </t>
  </si>
  <si>
    <t>Hristian Daskalov</t>
  </si>
  <si>
    <t>Osogovo str. 51, 1000 Sofia, Bulgaria</t>
  </si>
  <si>
    <t>security, defence, public administration, regulation, education, manufacturing and processing, agricultural biotechnology and food biotechnology, transport mobility</t>
  </si>
  <si>
    <t>ecosystem building, sme support, vocational training, knowledge transfer, public sector innovation, technology transfer, innovation management, finance</t>
  </si>
  <si>
    <t>cybersecurity, internet services applications, communication network, artificial intelligence decision support, simulation engineering and modelling, blockchain and distributed ledger technology dlt, high performance computing, quantum technologies computingcommunication</t>
  </si>
  <si>
    <t>European Digital Innovation Hub Northern Netherlands</t>
  </si>
  <si>
    <t>The Northern Netherlands (NN) finds itself at the junction of all the big transitions. Digitalisation is essential to follow through with these. Considering this, our region has the potential to make sizeable progress if it can successfully roll out widespread digitalisation. 
As a hardcore transition economy, the NN may even join the European frontrunners and act as an example for other regions. It is from this challenge that the NN will start with the European Digital Innovation Hub (EDIH NN). We have chosen to specialise in the area of Autonomous Systems, which includes multiple digital technologies that are relevant for the four transitions in the NN: (1) Smart Agro, (2) Smart Manufacturing, (3) Life Science and Health and (4) Utilities, Built Environment and Mobility. In the first three-year EDIH NN wants to support more than 750 companies and lay the foundation for long-term support of all companies. 
The building blocks for EDIH NN are: 
A Brokerage network that will identify issues regarding digitalisation and relay these to Solution Providers (high TRL) and knowledge providers (low TRL).
A Test Before Invest network (test and demo facilities) comprising 20+ organisations that will invest in Autonomous Systems within their domain, and collaborate towards becoming a European testing ground.
A Smart Factory Accelerator to strengthen the digital maturity of companies.
An Empowerment programme to strengthen companies in the areas of DEP Technologies: Cyber Security and Artificial Intelligence.
An approach based on High Performance Computing to make digitalisation more accessible.
The Smart Makers Academy: A programme aimed at matching supply and demand around digital skills, based on individual learning outcomes.
A Funding Readiness programme to help companies that need to invest for their digitalisation strategy, in finding funding opportunities.
A network to stimulate supply and demand around Autonomous Systems.</t>
  </si>
  <si>
    <t>Anna Moerbeek</t>
  </si>
  <si>
    <t>Paterswoldseweg 810, 9728 BM Groningen, Netherlands</t>
  </si>
  <si>
    <t>https://edih-nn.nl</t>
  </si>
  <si>
    <t>energy, agricultural biotechnology and food biotechnology, health care, life sciences, manufacturing and processing, transport mobility</t>
  </si>
  <si>
    <t>ecosystem building, finance, sme business development, sme support, field trial, smart specialisation strategies, technology transfer</t>
  </si>
  <si>
    <t>sensors vision processing systems, high performance computing, cybersecurity, artificial intelligence decision support</t>
  </si>
  <si>
    <t>European Digital Innovation Hub Saxony</t>
  </si>
  <si>
    <t>The consortium of the EDIH Saxony consists of Institute for Applied Informatics (InfAI) e.V. in Leipzig (consortium leader), Smart Systems Hub in Dresden/Smart Systems Hub GmbH, Smart Infrastructure Hub in Leipzig/SpinLab Accelerator GmbH, Initiative simul+ at Saxon State Ministry for Regional Development. The EDIH Saxony aims to ensure the wide use of digital technologies - big data/AI, HPC, internet of things, blockchain, robotic, micro- and nanoelectronic and connectivity solutions such as 5G &amp; WIFI6 (6G) - across the economy (especially SMEs) and administration and thereby making their products, processes, services and business models more efficient and competitive. The ultimate goal - foster digital innovation - build on the interactions of the sustainable development goals and cybersecurity. The consortium of EDIH Saxony focuses on digital applications in smart production, data mining, health, mobility, smart energy, smart living and smart building. All these fields of application in cooperation with each other should contribute to the emergence of smart regions.</t>
  </si>
  <si>
    <t>Ingolf Römer</t>
  </si>
  <si>
    <t>Goerdelerring 9, 04109 Leipzig, Germany</t>
  </si>
  <si>
    <t>energy, smart city, health care, metal working and industrial production, public administration, transport mobility, manufacturing and processing, food and beverages, transport sector</t>
  </si>
  <si>
    <t>knowledge transfer, public sector innovation, prototyping, regional development, technology transfer, sme support, technological innovation, field trial, sme business development</t>
  </si>
  <si>
    <t>artificial intelligence decision support, blockchain and distributed ledger technology dlt, communication network, cybersecurity, high performance computing, internet of things, internet services applications, new technologies for audiovisual sector media, sensors vision processing systems, robotics, simulation engineering and modelling, big data, cloud services, digital twins, logistics, mobility, virtual reality</t>
  </si>
  <si>
    <t>EDIH innovATE – The European Digital Innovation Hub for Agrifood, Timber and Energy</t>
  </si>
  <si>
    <t>Small and medium-sized enterprises (SME) are the backbone of the Austrian and EuropeanSmall and medium-sized enterprises (SME) are the backbone of the Austrian and European economy, drivers of innovation and essential for our prosperity. Digitalization and innovation skills are crucial for SME to be able to survive international competition in the future and to achieve the European Union’s (EU) twin objective of a green transition and digital transformation. The European Digital Innovation Hub (EDIH) candidate EDIH innovATE aims to support these objectives and to create a sustainable and fair European economy. EDIH innovATE achieves this by accelerating the digital transformation of SME in the agriculture, food, timber, and energy sector (ATE) by focusing on Artificial Intelligence (AI), Cyber-Physical Systems (CPS) and Advanced Digital Skills. By improving digitalization in the ATE industries EDIH innovATE strengthens the world’s ability to feed a growing population, prevent forest decline, use resources efficiently, generate green energy and keep a thriving ecosystem. EDIH innovATE’s goal is to advance Austria and Europe as a location for innovation by training highly qualified SME workers, creating new companies and jobs, counteracting rural exodus, and creating opportunities for exchange with the best in Europe through the EDIH network. Through increased digitalization, we also promote resilience in crises, e.g., climate change, globalization, COVID-19 crisis. That is why EDIH innovATE acts as one-stop-shop for digital innovation in the ATE industries for SME offering hands-on trainings, workshops, test-before-invest activities, networking events, prototype projects, SME accelerator and access to finance. EDIH innovATE builds its experience on an exceptional track record of the national Digital Innovation Hub (DIH) innovATE and its 10 renown digitalization and industry expert partner organizations that together with the DIH build the EDIH innovATE consortium.</t>
  </si>
  <si>
    <t>Martina Wick</t>
  </si>
  <si>
    <t>Siebensterngasse 31/11, 1070 Vienna, Austria</t>
  </si>
  <si>
    <t>https://dih-innovate.at</t>
  </si>
  <si>
    <t>energy, paper and wood, construction assembly, food and beverages, manufacturing and processing, communityled local development</t>
  </si>
  <si>
    <t>ecosystem building, circular economy, innovation management, knowledge transfer, prototyping, sme support, technological innovation</t>
  </si>
  <si>
    <t>artificial intelligence decision support, internet of things, cyberphysical systems, robotics, big data, sensors vision processing systems, laserbased manufacturing and materials processing</t>
  </si>
  <si>
    <t>Futures of Innovation Technologies EDIH - Centru Region, RO</t>
  </si>
  <si>
    <t>Futures of Innovation Technologies European Digital Innovation Hub (FIT EDIH) in the Centru Region, in Romania (NUTS2-RO12) is a coordinated group of 12 organizations, with complementary expertise, resulting from the merger of two EDIH consortia based in the region, that have successfully passed the national selection stage, namely FIT EDIH (ICE, UMFST, ASIMCOV, AICAR, BMA, CNIPMMR, ALT BV) and Leveraging Administration and Business for a Smart Community - DIH-LAB4COM (ULBS, ROPARDO, AIDA, SFR and NTT (AE)).
FIT EDIH's primary specializations are (1) Artificial Intelligence (AI) and Big-Data based systems and (2) Key Enabling Technologies (KET), aiming to increase the digital maturity level of 131 SMEs and Public Service Organizations (PSOs) in 3 main application domains, correlated with the Centru region’s 2021-2027 RIS3 Smart Specialization Strategy:
Smart City,
Manufacturing,
eHealth.
In order to address the needs of Centru Region’s SMEs and Public Service Organizations (PSOs), who currently have a basic level of digitalization at best, while also setting up the premises for advanced digital transformation of their organization, FIT EDIH has created 3 Curriculum Tracks for each of the 3 Application Domains it targets, focusing on promoting both basic and advanced technologies and curating the themes and activities of its 4 core services (WP1 Innovation Ecosystem, WP2 Test Before Invest, WP3 Skills and WP4 Access to Finance). FIT EDIH's flexible yet ambitious approach goes further - to offering SMEs and PSOs 3 different client journeys, FIT EDIH Awareness Level, Basic Level and Advanced Digital Transformation.</t>
  </si>
  <si>
    <t>Irina Florea-Saghin</t>
  </si>
  <si>
    <t>str Mihail Sadoveanu nr 6, 500030 Brasov, Romania</t>
  </si>
  <si>
    <t>https://www.digitalinnovationhub.fit/home</t>
  </si>
  <si>
    <t>energy, health care, manufacturing and processing, public administration, retail, wholesale or distribution, smart city, textiles, transport mobility, travel and tourism</t>
  </si>
  <si>
    <t>ecosystem building, field trial, innovation management, knowledge transfer, public sector innovation, smart specialisation strategies, sme business development, sme support, technology transfer</t>
  </si>
  <si>
    <t>artificial intelligence decision support, cyberphysical systems, cybersecurity, digital twins, internet of things, mobility, robotics</t>
  </si>
  <si>
    <t>Mittelstand-Digital Zentrum Bau</t>
  </si>
  <si>
    <t>With the Mittelstand-Digital Zentrum Bau, small and medium-sized companies in the construction and real estate industry have a strong partner who supports them on their way to the digital and sustainable future. We impart digital skills, promote the implementation of practical solutions and network those involved in the process. Our provider-neutral and free offers cover the entire construction value chain by combining digitalization and sustainability: from project development to dismantling. As a "Mittalestand Digital Zentrum", we are part of the national network of medium-sized digital centers with the aim of supporting small and medium-sized companies in their digital transformation.</t>
  </si>
  <si>
    <t>Thomas Kirmayr</t>
  </si>
  <si>
    <t>Fraunhoferstraße 10, 83626 Valley, Germany</t>
  </si>
  <si>
    <t>https://www.digitalzentrumbau.de/</t>
  </si>
  <si>
    <t>energy, environment, real estate, smart city, legal aspects, regulation</t>
  </si>
  <si>
    <t>circular economy, ecosystem building, finance, innovation management, knowledge transfer, smart specialisation strategies, sme business development, technological innovation, technology transfer, vocational training</t>
  </si>
  <si>
    <t>artificial intelligence decision support, digital twins, internet of things, internet services applications, new technologies for audiovisual sector media, virtual reality, sensors vision processing systems, simulation engineering and modelling, software architectures</t>
  </si>
  <si>
    <t>Mittelstand-Digital Zentrum Magdeburg</t>
  </si>
  <si>
    <t>The Mittelstand-Digital Zentrum Magdeburg supports small and medium-sized enterprises (SMEs for short) on their digital transformation journey towards competitive products and services, innovative business models and efficient value creation networks. We empower companies and craft businesses and are a cross-industry contact point in the Experimental Factory in Magdeburg.</t>
  </si>
  <si>
    <t>Dr. Stefan Voigt</t>
  </si>
  <si>
    <t>Sandtorstraße 23, 39106 Magdeburg, Germany</t>
  </si>
  <si>
    <t>https://www.digitalzentrum-magdeburg.de/</t>
  </si>
  <si>
    <t>energy, manufacturing and processing</t>
  </si>
  <si>
    <t>artificial intelligence decision support, cybersecurity, gamification, internet of things, internet services applications, logistics, virtual reality</t>
  </si>
  <si>
    <t>Digital Innovation Hub of Western Macedonia</t>
  </si>
  <si>
    <t>The Digital Innovation Hub of Western Macedonia (SYNERGiNN EDIH: SYNergy – enERGy – iNNovation) will offer its services in the region of Western Macedonia. The region of Western Macedonia, as a former lignite mining area, is very likely to face for decades deep structural unemployment, with unconceivable consequences in the local economy and eventually on the people and their communities. According to the National Energy and Climate Plan, one of the key sectors to diversify economic activities and boost the development in the region is Environment and Energy. Taking these into account, the consortium aims to establish SYNERGiNN EDIH that will guide the companies and the public organisations into utilising Artificial Intelligence, Cybersecurity, Internet of Things, and Big Data analytics, in order to promote and transform the “know-how” that the region of Western Macedonia possesses in the Energy and Environment sectors as well as replace the lignite deposits by a longer lasting knowledge deposit. Application areas that the members of SYNERGiNN have relevant expertise and experience in the Energy and Environment sectors are the following: (i) smart grids, (ii) predictive maintenance, (iii) process optimisation, (iv) energy management services, (v) Industry 4.0, (vi) circular economy and bioeconomy, and (viii) smart city applications. SYNERGiNN will provide test before invest, skills and training, support to find investment, and innovation and ecosystem networking services. SYNERGiNN hub’s headquarter will be located in a 1,000 square meters building in Kozani, owned by the University of Western Macedonia. SYNERGiNN consortium combines multidisciplinary competences and resources. It consists of fifteen partners representing one university, one research institute, two technology providers, three clusters, five industrial partners, one public regional organisation, and two chambers. SYNERGiNN has access to over 15,000 SMEs in Western Macedonia through its members.</t>
  </si>
  <si>
    <t>Stergios Maropoulos</t>
  </si>
  <si>
    <t>Campus ZEP, 50150 Kozani, Greece</t>
  </si>
  <si>
    <t>https://synerginn.eu/</t>
  </si>
  <si>
    <t>energy, environment, public administration, smart city</t>
  </si>
  <si>
    <t>artificial intelligence decision support, big data, cloud services, cybersecurity, high performance computing, internet of things</t>
  </si>
  <si>
    <t>FIWARE Space</t>
  </si>
  <si>
    <t>As a DIH associated to the Badajoz Provincial Council (public administration for the Province of Badajoz, Spain) and its digitalization project, Badajoz Es Más, the FIWARE Space center has carried out a wide range of activities aimed at citizens, local administrations and local companies (particularly SMEs and Start-Ups), always focusing on the topics of Digital Transformation and Smart Technologies. As previously mentioned, the FIWARE Space center is part of the Badajoz Provincial Council, and as such all its activities fall within the digitalization efforts carried out by the provincial administration.</t>
  </si>
  <si>
    <t>Jaime Gragera Rodríguez</t>
  </si>
  <si>
    <t>Avd. javier blanco palenciano, pctex, bloque 2, 06006 Badajoz Badajoz, Spain</t>
  </si>
  <si>
    <t>https://fiware.space/</t>
  </si>
  <si>
    <t>energy, environment, public administration, travel and tourism</t>
  </si>
  <si>
    <t>ecosystem building, knowledge transfer, sme support</t>
  </si>
  <si>
    <t>internet of things</t>
  </si>
  <si>
    <t>Accelerated Digitalisation of SMEs in the North Central Region through creation and development of an European Digital Innovation Hub</t>
  </si>
  <si>
    <t>The European way for the Digital decade is to create a network of European digital innovation hubs to support the European SMEs and administration in the regions to accelerate their digital transformation. In the context of the Digital Europe Programme, this project represents creation and development of an EDIH to offer services to the SMEs and administration in the North Central Region of Bulgaria to reach higher digital maturity level and strengthen the resilience of the regional industry by boosting its digitalisation. The services are planned to be of twin type: both digital and green. The Hub activities and services are focused on Artificial intelligence in the typical smart specialisation of the region Mechatronics and Informatics and ICT, but target also the most valuable capital – skilling, re- and up-skilling of the human resources. The lack of knowledge in the Hub to support the SMEs in the vast digitalisation field will be mitigated and overcome via the access to the broad network of EDIHs.</t>
  </si>
  <si>
    <t>Nikolinka Hinkova</t>
  </si>
  <si>
    <t>"Raiko Daskalov" 7, 5300 Gabrovo, Bulgaria</t>
  </si>
  <si>
    <t>http://ric-gabrovo.com/edih</t>
  </si>
  <si>
    <t>energy, education, environment, manufacturing and processing, metal working and industrial production, polymers and plastics, smart city</t>
  </si>
  <si>
    <t>circular economy, ecosystem building, smart specialisation strategies, regional development, sme business development, vocational training</t>
  </si>
  <si>
    <t>artificial intelligence decision support, robotics, internet of things, laserbased manufacturing and materials processing, digital twins</t>
  </si>
  <si>
    <t>Smart Islands Hub</t>
  </si>
  <si>
    <t>The Smart Islands Hub (SIH) is an important strategic effort, officially supported by the Regional Government to accelerate the Digital and Green transition of the Autonomous Region of Madeira. The consortium unites core organisations from R&amp;D, Innovation and business ecosystem: ARDITI (coordinator), the University of Madeira, Startup Madeira, ACIF, NOVA University of Lisbon, Smart Energy Lab, Cecolab and Uninova. SIH also has the support of strategic stakeholders in the form of public institutions, local service providers and all the Municipalities of Madeira. SIH will provide solutions that will help SMEs, small midcaps and public sector organisations in their digital and green transformation, and promote capacity building and digital inclusion in the population of the Region. Our services will be available for similar regions and small economies that, like ours, are fully committed to sustainable development and quality of life for their citizens. Our position as an outermost region, further away from decision centres, where technology and innovation are more widespread, motivated the creation of a strategy to holistically develop our DIH and offer a more complete set of services for test before invest, skills &amp; training, support to find investment and ecosystem and networking, applied to the areas of Energy, Circular Economy, Environment &amp; Sustainability, Mobility &amp; Logistics, Public Sector, Health &amp; Biotechnology and Commerce &amp; Services. We also cover a wider range of main technologies, from AI and Cybersecurity to Advanced Digital Skills. To reach our goals, we developed a project plan that integrates activities to promote technology transfer from our R&amp;D entities to market innovation with the support of our business organisations, taking full advantage of our competence centres. The results will be shown by advancing the digital maturity of the organisations that benefit from our services, measured by a Digital Maturity Assessment.</t>
  </si>
  <si>
    <t>Paulo Abreu</t>
  </si>
  <si>
    <t>Caminho da Penteada, Edifício Madeira Tecnopolo, piso 2, 9020-105 Funchal, Portugal</t>
  </si>
  <si>
    <t>https://smartislandshub.eu/index.php/en/</t>
  </si>
  <si>
    <t>energy, environment, health care, transport mobility, public administration</t>
  </si>
  <si>
    <t>ecosystem building, innovation management, knowledge transfer, sme business development, circular economy</t>
  </si>
  <si>
    <t>artificial intelligence decision support, cybersecurity, human computer interaction, blockchain and distributed ledger technology dlt, big data</t>
  </si>
  <si>
    <t>Establishment of European Digital Innovation Hub (EDIH) in Lubelskie region Poland</t>
  </si>
  <si>
    <t>Project's goal is to establish and run a regional European Digital Innovation Hub (EDIH) named LUBDIGHUB in Lublin, Poland. The hub will act as a one-stop shop for the companies in the digital and green (energy) transformation. It will provide complex services to support the deployment of new technologies and innovation to SMEs and public sector organisations conducting non-economic activities. The targeted number of customers is 100. It will support developing capacities in High Performance Computing, Artificial Intelligence, Cybersecurity, Advanced Digital Skills. The specialization of LUBDIGHUB is green (energy) transformation. LUBDIGHUB consortium expertise comes from both private companies (solution providers) and local higher educational institutions. The hub will offer customized solutions based on a agile collaborative business model.</t>
  </si>
  <si>
    <t>Marcin Marczuk</t>
  </si>
  <si>
    <t>Józefa franczaka "lalka", 43, 20-325 Lublin (lubelskie, lublin, lublin), Poland</t>
  </si>
  <si>
    <t>circular economy, knowledge transfer, sme business development, smart specialisation strategies</t>
  </si>
  <si>
    <t>sensors vision processing systems, simulation engineering and modelling, communication network, cybersecurity, internet of things</t>
  </si>
  <si>
    <t>Smart Energy Digital Innovation Hub</t>
  </si>
  <si>
    <t>A digital and flexible energy sector is crucial for EU to cut CO2 emissions by 55% by 2030. The Smart Energy Digital Innovation Hub (SEDIH) has a vision of being part of the ambition and at the same time improve the competitiveness of the local economy by stimulating digital transformation in the energy sector in the thirteen Municipalities in South Jutland in Denmark. SEDIH has a dedicated focus and builds on a strong smart specialization, which is already an area of growth in the region. The energy sector is strongly represented in South Jutland, but still has the potential to be strengthened even further in the coming years, as the strong energy sector has not historically been based on smart digitalization. SEDIH will increase the general level of digital maturity by 10%, strengthen the uptake of digital technologies and promote the development of new technologies to ensure a future intelligent and flexible energy system. SEDIH gives acces to state-of-the-art infrastructure and the possibility to work with some of the best in the field of AI, cyber security, HPC and IoT. Targeted test -courses, - facilities and living labs, train the trainer and knowledge brokerage projects create a structured collaboration and easy access for companies to RTOâ€™s and universities. The clusters participation ensures a smooth facilitation and a commercial aim that creates the link to access to finance and investments. SEDIH is a one-stop shop when it comes to new knowledge, new technologies and new partners. SEDIH will provide European added value and promote collaboration across European EDIHs, giving companies the opportunity for broader support, matchmaking, best practice and access to new knowledge. SEDIH creates links with the other initiatives in the Digital Europe Program, e.g Green Deal Data Space, TEF for Smart Cities and Communities, Centers of Excellence for HPC Application and the European AI On-Demand Platform.</t>
  </si>
  <si>
    <t>Mona Nissen Bach</t>
  </si>
  <si>
    <t>Billundvej 3, 6500 Vojens, Denmark</t>
  </si>
  <si>
    <t>http://ehsyd.dk</t>
  </si>
  <si>
    <t>energy</t>
  </si>
  <si>
    <t>ecosystem building, finance, knowledge transfer, sme support, technology transfer</t>
  </si>
  <si>
    <t>artificial intelligence decision support, cybersecurity, high performance computing, internet of things</t>
  </si>
  <si>
    <t>National Ecosystem for Smart Technologies</t>
  </si>
  <si>
    <t>Ermal Ilirjani</t>
  </si>
  <si>
    <t>Rr. SAMI FRASHERI NO 10, 1001, Tirana, Albania</t>
  </si>
  <si>
    <t>https://www.albaniandf.org/</t>
  </si>
  <si>
    <t>smart city, transport mobility, travel and tourism</t>
  </si>
  <si>
    <t>ecosystem building, innovation management, prototyping, regional development, smart specialisation strategies, sme support, technological innovation, vocational training</t>
  </si>
  <si>
    <t>artificial intelligence decision support, communication network, high performance computing, internet of things, internet services applications, locationbased applications, logistics, micro and nanoelectronics, optoelectronics, mobility, quantum technologies computingcommunication, sensors vision processing systems, simulation engineering and modelling, virtual reality</t>
  </si>
  <si>
    <t>Finnish AI Region</t>
  </si>
  <si>
    <t>Finnish AI Region EDIH (FAIR) provides free or subsidized services to SMEs to advance their digital and green transformation on an open, transparent and non-discriminatory basis. The technological focus of FAIR is on AI, but we also offer expertise in cybersecurity, high-performance computing, and Extended Reality (XR). Geographically, FAIR services cover the whole Finland with emphasis on Southern Finland. At the core of FAIR are 1) the Finnish Center for Artificial Intelligence (FCAI), which is a flagship initiative founded and run by AALTO, UH and VTT, and 2) the three major capital region cities (Helsinki, Espoo and Vantaa). FAIR has deeper collaboration with selected EDIHs in Finland and in Europe, but intends to collaborate with and strengthen the whole EDIH network. Furthermore, FAIR collaborates with other Finnish organizations and networks. Thus, FAIR will be able to offer an extended set of services.  
Our target customers are SMEs operating in the areas of digital services, smart cities and health. These SMEs are expected to have at least a basic understanding of AI. A typical example of a customer is a company that is already an established player in its own application area and now aims to launch a new product/service harnessing AI, but lacks the expertise and means to correctly validate, implement, maintain and further develop the new AI based service in practice. It can also be a company that aims to improve its operations with a third-party AI solution, but does not have the needed expertise to compare available services nor to implement them efficiently. </t>
  </si>
  <si>
    <t>Solja SULKUNEN</t>
  </si>
  <si>
    <t>Kansakoulukatu 3, 00100 Helsinki, Finland</t>
  </si>
  <si>
    <t>https://www.fairedih.fi/en/</t>
  </si>
  <si>
    <t>smart city, health care</t>
  </si>
  <si>
    <t>prototyping, ecosystem building, sme support, technological innovation, finance, field trial, sme business development</t>
  </si>
  <si>
    <t>artificial intelligence decision support, high performance computing, virtual reality</t>
  </si>
  <si>
    <t>Location Innovation Hub</t>
  </si>
  <si>
    <t>The Location Innovation Hub (LIH) is a centre of excellence in location information coordinated by the Finnish Geospatial Research Institute. LIH services are produced in conjunction with a partner network.
Watch the video: What is Location Innovation Hub?
How we operate?
Our customers are particularly companies that want to solve the challenges of digitalisation and strengthen their competitiveness. We also serve the public sector.  Our customers can make their operations more efficient by developing data interoperability, using precise positioning and new generation positioning technologies. We produce tools and  test environments and provide consultation, and training, as well as provide support through networking for companies to obtain funding.  Our development work focuses on four different themes:
the built environment
bioeconomy
health and wellbeing
transport, logistics and traffic.
In these sectors, our customers can develop businesses related to artificial intelligence, high performance computing and cybersecurity. 
What is our goal?
In accordance with the European Data Strategy, interoperable information combined with location information is an indispensable resource for developing competitiveness and innovation capacity. Our activities are aimed at making efficient use of data spaces, for example on developing digital twins. Our goal is to create a functional, permanent location innovation ecosystem for seeking funding, testing services and developing new innovations in Europe.   The Location Innovation Hub, supported by the European Commission, is one of the four digital innovation hubs in Finland (EDIH) and is part of the European network of innovation hubs. 
 </t>
  </si>
  <si>
    <t>Antti JAKOBSSON</t>
  </si>
  <si>
    <t>Vuorimiehentie 5, 02150 Espoo, Finland</t>
  </si>
  <si>
    <t>https://www.locationinnovationhub.eu/</t>
  </si>
  <si>
    <t>smart city, energy, environment, health care, transport mobility, security</t>
  </si>
  <si>
    <t>sme support, circular economy, ecosystem building, knowledge transfer, public sector innovation, sme business development, technology transfer</t>
  </si>
  <si>
    <t>locationbased applications, big data, artificial intelligence decision support, cybersecurity, digital twins, high performance computing, internet of things, logistics, mobility, robotics, virtual reality</t>
  </si>
  <si>
    <t>Creating Smart Secure Cities for EU citizens</t>
  </si>
  <si>
    <t>The Smart Secure Cities Consortium’s aim is to continue its up-to-date activities as a national EDIH with specialization in Smart City/IoT responding to a national need to foster digitalization and introduction of smart technologies, in line with national smart specializations for Poland. There is a great need for fair, cyber-secure, inclusive, resource-efficient, and above all human-centric digitalization of EU citizens’ living environments. However, there is not enough specialized support for the cities to make digitalization successful, especially in CEE. Our EDIH will address those needs working for and with two types of clients: Public Sector Organisations and SMEs. Thanks to its synergy, unique competencies, a well-planned, geographically balanced network of 28 Consortium members coming from different regions of Poland, will be a driver to raise the CEE region and level up with the most innovative regions in Europe. Consortium with its expertise and experience in digitalization will bring education, raise awareness on benefits and tools for a well-conducted digitalization. With its highly innovative, testing infrastructure of cyber-physical Innovation Showroom SMEs, start-ups and PSOs will be able to present and test the most innovative Smart City/IoT technologies. EDIH will support access to financing for the European cutting-edge technologies. It will also foster tight cooperation and networking between PSOs and SMEs in their digitalization to create together sustainable smart cities in the EU. EDIH will also address aims, promote and implement the concept of introduction of smart technologies as tools for sustainable development addressing directly objectives of the European Green Deal and Fit for 55 strategy. Our EDIH will continue to be a driver of the EU-wide network of EDIHs active in the area of digitalization of EU cities and regions involving EU-funded platforms and programs such as EEN, Startup Europe Partnership, Innovation Radar, EIC Accelerator.</t>
  </si>
  <si>
    <t>Konrad Dziadkowiak</t>
  </si>
  <si>
    <t>Perkuna 47, 04-164 Warszawa, Poland</t>
  </si>
  <si>
    <t>smart city</t>
  </si>
  <si>
    <t>public sector innovation, smart specialisation strategies, regional development, ecosystem building, sme support, technological innovation</t>
  </si>
  <si>
    <t>internet of things, cloud services, cybersecurity, high performance computing</t>
  </si>
  <si>
    <t>WaMa Innovation Hub</t>
  </si>
  <si>
    <t>WaMa Innovation Hub (WAMA EDIH) operating in Poland provides services in the one-stop-shop model for SMEs in the field of digital transformation. 
The project responds to the challenges of the Digital Europe Programme, but also to the EU strategies related to sustainable development policy and Green Deal in the context of the specific needs and specialization of both regions. 
The main goal of the project is to increase the competitiveness of Polish, local companies and to improve the quality of business services by increasing the level of digital transition, taking into account sustainable development and energy efficiency. 
Objective 1 - stimulating the growth of digital maturity for SMEs especially from the Robotics, EdTech, Smart City, IoT and AgriTech sectors. Through an accurate diagnosis of needs based on the study of digital maturity and twin transition needs, each beneficiary will receive an individual path of cooperation in the field of development and deployment of AI, Cybersecurity, Advanced Digital Skills, Digital Service Infrastructure and HPC. Objective 2 - creating an ecosystem of European digital innovations through cooperation with other EDIHs, Enterprise Europe Network nodes, clusters, organizations supporting innovative entrepreneurship and local authorities, as well as by associating cooperation between companies. Objective 3 - increasing the maturity of the market, increasing the potential of the market and sectors to be innovative through actions improving the level of use of European funds and all available financial instruments. Objectives 4 - raising the awareness of SME sector regarding the twin transition.</t>
  </si>
  <si>
    <t>Marcin Czyża</t>
  </si>
  <si>
    <t>al. Armii Ludowej 26 lok. B7, 00-609 Warszawa, Poland</t>
  </si>
  <si>
    <t>https://koalicjadlainnowacji.pl/wama-edih/</t>
  </si>
  <si>
    <t>smart city, education, environment, communityled local development, agricultural biotechnology and food biotechnology, cultural and creative economy, energy, financial, life sciences, personal services, retail, wholesale or distribution, manufacturing and processing, transport mobility, telecommunications</t>
  </si>
  <si>
    <t>circular economy, ecosystem building, field trial, finance, innovation management, knowledge transfer, prototyping, regional development, smart specialisation strategies, sme business development, sme support, technological innovation, technology transfer, vocational training</t>
  </si>
  <si>
    <t>artificial intelligence decision support, cloud services, communication network, cybersecurity, digital twins, gamification, high performance computing, human computer interaction, internet of things, internet services applications, logistics, mobility, new technologies for audiovisual sector media, robotics, simulation engineering and modelling, software architectures, virtual reality</t>
  </si>
  <si>
    <t>Smart, Sustainable and coheSive Digitalization conceived as a Digital Innovation Hub</t>
  </si>
  <si>
    <t>DIGIS3 is an EDIH promoted by the Regional Government of Castile and León as part of its objective for a digital and green transition of the regional economy, which is highly industrial, and where 99% of SMEs predominates over large enterprises. The objective of DIGIS3 is to ensure the smart, sustainable, and cohesive digital and green transformation of SMEs and public sector organisations (PSOs) in Castile and León. DIGIS3 is focused on cohesion, through comprehensive support to users, facilitating their access to specialised technical knowledge and experimentation environments. It will act as a digital one-stop shop service whose central core of knowledge and training is structured around Trustworthy Artificial Intelligence, High Performance Computing, and Advanced Digital Skills (IoT, 5G, additive manufacturing…). This accompaniment will be carried out through appropriate digitalisation itineraries, in accordance with the users' level of digital maturity, and considering the specific needs of the sector and the geographical environment for the capillarisation of the EDIH services. DIGIS3 is a strategic alliance that combines 6 major complimentary players in the region: ICE, as the PSO in charge of public investments, funding, and internationalisation of regional SMEs, with presence in all the provinces; IoTDIH, DIHBU and DIHLEAF, 3 fully operational DIHs, together with 13 affiliated entities; SCAYLE, as the regional centre for HPC; and ULe, as a reference competence centre in advanced digital skills. In this sense, relevant industry organisations, all the public Universities, and most of the technological centres of the Region are part of DIGIS3. DIGIS3 will boost the digital and green transformation of more than 1400 regional SMEs and PSOs in the next 3 years that will receive high added-value services, together with the collaboration of an extensive network of more than 50 EDIHs and organisations that are already supporting the proposal.</t>
  </si>
  <si>
    <t>Ricardo Serafín Alonso Rincón</t>
  </si>
  <si>
    <t>Avenida Santiado Madrigal 39, 37003 Salamanca Salamanca, Spain</t>
  </si>
  <si>
    <t>https://digis3.eu/en</t>
  </si>
  <si>
    <t>smart city, agricultural biotechnology and food biotechnology, communityled local development, education, environment, manufacturing and processing, public administration, telecommunications</t>
  </si>
  <si>
    <t>circular economy, ecosystem building, innovation management, knowledge transfer, prototyping, public sector innovation, regional development, smart specialisation strategies, sme support, technological innovation, technology transfer</t>
  </si>
  <si>
    <t>artificial intelligence decision support, high performance computing, additive manufacturing, internet of things, blockchain and distributed ledger technology dlt, cloud services, cybersecurity, digital twins, robotics, software architectures, quantum technologies computingcommunication</t>
  </si>
  <si>
    <t>Digital Innovation Hub South Tyrol - DIS-HUB</t>
  </si>
  <si>
    <t>DIS-HUB (Digital Innovation Hub South Tyrol) is an Italian mature Hub which will fully cover NUTS 2 Region of South Tyrol. The 13 partners have a strong experience in the fields of research, education, innovation, technology, and business services, ensuring a complete set of services to the targeted companies. The heart of DIS-HUB is the technology park of the Region, the NOI Techpark, which is equipped with all the research infrastructures and skills needed: 40 research laboratories, 1 business incubator, 90 tech-companies, 3 Faculties of the University, 4 research institutions. This gives an outstanding advantage in terms of capabilities and outreach. The main objectives of the project are (i) to set up a EDIH in the Region of South Tyrol, (ii) connect it with the EDIH Ecosystem and (iii) to deliver the foreseen services for the target groups, fully in line with Digital Europe Program strategy. DIS-HUB will have a multi-sector technology focus in the field of sustainable agri-food systems, sustainable buildings and energy &amp; water systems, smart rural areas (with special focus on mobility and tourism) and smart manufacturing. DIS-HUB is specialized on Artificial Intelligence (AI) and the related enabling technologies, such as real-time data management, recommender systems, prediction models, computer vision, robotics. DIS-HUB has the ambition to make the region of South Tyrol an open testing environment, in which companies can test their prototypes with real customers and end-users. In the first three years DIS-HUB plans to serve around 420 unique companies. DIS-HUB will actively contribute to European policies and especially to the EU Data Strategy, thanks to the implementation of an open “data space” covering all specialization fields. DIS-HUB expects to gain know-how in other technology fields through the cooperation with other EDIHs and is engaged to promote synergies with other relevant partners, in particular with Enterprise Europe Network (EEN).</t>
  </si>
  <si>
    <t>EDIH NOI</t>
  </si>
  <si>
    <t>Via Alessandro Volta 13/a, 39100 Bolzano BZ, Italy</t>
  </si>
  <si>
    <t>https://noi.bz.it/en/institutions/dih-edih</t>
  </si>
  <si>
    <t>agricultural biotechnology and food biotechnology, transport mobility, smart city, manufacturing and processing, energy, environment, construction assembly, automotive, health care</t>
  </si>
  <si>
    <t>knowledge transfer, ecosystem building, finance, field trial, prototyping, smart specialisation strategies, sme support, technological innovation, technology transfer, regional development, vocational training, circular economy, innovation management</t>
  </si>
  <si>
    <t>artificial intelligence decision support, big data, additive manufacturing, internet of things, robotics, sensors vision processing systems, mobility, virtual reality</t>
  </si>
  <si>
    <t>Win-Win European Digital Innovation Hub (WIN2EDIH)</t>
  </si>
  <si>
    <t>The Win-Win EDIH (WIN2EDIH) is a digital transformation hub providing high added-value services for testing, training, ecosystem networking, and funding support to SMEs, startups, and the public sector in Ukraine. It operates through a dynamic and interconnected ecosystem with access to the best European practices and technological players. The hub is strongly committed to becoming a relevant player in the EDIH network and expanding its collaboration outreach to other European regions. The main objective of WIN2EDIH is to enhance the level of digital and green transformation of the targeted audience by introducing deep tech solutions and coherent integration into the EU network of EDIHs. 
WIN2EDIH was established by a consortium representing the Quadruple Helix Model: KNEU, ZPSU &amp; CPNU as the most digitalized educational establishments in Northern Ukraine. Along with this, the public, industry and community sectors are represented by the USF, a public authority with a proven track record of supporting startups through collaborations with ongoing European projects, Vacuum Deep Tech Acceleration as the sole deep tech supporter in Ukraine, and YEP Accelerator that serve as the centre of the Ukrainian innovation ecosystem. 
The WIN2EDIH covers Chernihiv, Zhytomyr and Kyiv regions. WIN2EDIH focuses on selected deep tech smart specializations, including Smart Mobility, Manufacturing and Processing, Smart Factories, Food Tech, Education, Public Administration, Energy and Healthcare. The technologies used include HPC, AI, Cybersecurity, Advanced Digital Skills, Automation &amp; Robotics, IoT, Advanced &amp; Additive Manufacturing, VR, Cloud Services, Software Architectures, Internet Services, Applications, and Communication Networks. 
In terms of alignment with EU programs, WIN2EDIH will be implemented in line with the framework of EU initiatives aimed at fostering digitalization, innovation, and economic growth, such as the Sustainable and smart mobility strategy, European Green Deal, Food2030, EU Youth Strategy, and ERASMUS+ Program.</t>
  </si>
  <si>
    <t>Antoniuk Larysa</t>
  </si>
  <si>
    <t>54/1 Beresteysky prospect, Kyiv, 03057, Ukraine</t>
  </si>
  <si>
    <t>https://win2edih.com.ua/</t>
  </si>
  <si>
    <t>agricultural biotechnology and food biotechnology, education, energy, financial, food and beverages, health care, manufacturing and processing, public administration, security, smart city, telecommunications</t>
  </si>
  <si>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</si>
  <si>
    <t>additive manufacturing, artificial intelligence decision support, bi tools, big data,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 quantum technologies computingcommunication</t>
  </si>
  <si>
    <t>AgrInnovate EDIH</t>
  </si>
  <si>
    <t>AgrInnovate EDIH, established under the Digital Europe Programme, is driving pivotal enhancements in agricultural efficiency to address pressing global challenges like population growth, climate change, and labor shortages. Through its integration of Türkiye into the AgriFood 4.0 process, AgrInnovate EDIH is catalyzing digital and ecological transformation within the sector, leveraging AI, IoT, and high-performance computing to modernize the agricultural landscape and foster rural connectivity and digital integration across the EU.
At its core, AgrInnovate EDIH has developed a vibrant digital innovation ecosystem that bolsters market readiness, enhances SMEs' digital and ecological transition awareness, and propels AgriTech and FoodTech SMEs towards digital maturity. This strategic approach is proving essential for navigating the agricultural sector through the digital revolution, facilitating access to investments, and maintaining an innovation-rich environment.
AgrInnovate EDIH represents a collaborative initiative advancing the AgroFood sector through digital innovation. The hub brings together nine partners, including nationally and internationally recognized institutions, positioning it uniquely to provide comprehensive support for Türkiye's growing agricultural and food sectors. AgrInnovate EDIH addresses immediate sectoral challenges while making significant contributions to the burgeoning ecosystem of digital agriculture in Türkiye, ensuring the country's agricultural sector is equipped to meet future demands.
Through its established Digital Corridors and partnerships with European Digital Innovation Hubs, combined with its comprehensive approach to digital transformation, AgrInnovate EDIH has laid the foundation for a digitally advanced agricultural future in Türkiye. This initiative represents a national movement towards sustainable and innovative agricultural practices, actively transforming the country's agricultural landscape.</t>
  </si>
  <si>
    <t>Çağrı Gezenler</t>
  </si>
  <si>
    <t>Camiikebir Mah. Menemen Maltepe Yolu Sokak No: 25/4 Menemen, 35460 İzmir, Türkiye</t>
  </si>
  <si>
    <t>https://ittm.itb.org.tr/en/</t>
  </si>
  <si>
    <t>agricultural biotechnology and food biotechnology, communityled local development, education, environment, financial, fishery, food and beverages, life sciences, public administration, regulation, retail, wholesale or distribution, telecommunications, textiles, travel and tourism</t>
  </si>
  <si>
    <t>artificial intelligence decision support, bi tools, big data, blockchain and distributed ledger technology dlt, cloud services, communication network, digital twins, displays, industrial biotechnology, internet of things, internet services applications, locationbased applications, logistics, organic and large area electronics, robotics, sensors vision processing systems, simulation engineering and modelling, virtual reality</t>
  </si>
  <si>
    <t>Capital Innovation Point Serbia</t>
  </si>
  <si>
    <t>The Capital Innovation Point Serbia (CIPS) has been established to drive digital transformation and technological advancement by supporting startups, micro, small, and medium-sized enterprises (SMEs), as well as public sector organizations. CIPS places a strong focus on key areas such as high-performance computing, artificial intelligence, cybersecurity, advanced digital skills, automation, and robotics. These technologies are applied across sectors including BioTech, MedTech, AgriTech, GreenTech, transportation, and services. The support framework for startups and SMEs is divided into the following key areas:
Technical Problem-Solving: Assisting companies and institutions in addressing specific technical challenges through testing, product development, and similar activities.
Capacity Building: Enhancing knowledge, skills, and capacities within organizations.
Collaboration and Funding Access: Strengthening collaboration among various stakeholders and facilitating access to funding opportunities for startups and SMEs.
CIPS operates as a hub/network, led by the Science and Technology Park Belgrade (STPB) and supported by a consortium of partners - National Alliance for Local Economic Development (NALED), Science and Technology Park Novi Sad (STP NS), Data Cloud Technology (DCT) and Faculty of Technical Sciences – University of Novi Sad (FTS) and associated partners - Institute of Physics Belgrade (IPB) and University of Belgrade School of Electrical Engineering (ETF).</t>
  </si>
  <si>
    <t>Serbia</t>
  </si>
  <si>
    <t>Nina Novakovic</t>
  </si>
  <si>
    <t>Veljka Dugosevica 54, 11000 Belgrade, Serbia</t>
  </si>
  <si>
    <t>agricultural biotechnology and food biotechnology, automotive, construction assembly, education, electricity, energy, environment, financial, food and beverages, legal aspects, life sciences, manufacturing and processing, metal working and industrial production, paper and wood, polymers and plastics, public administration, regulation, security, smart city, space, telecommunications, textiles, transport mobility, transport sector</t>
  </si>
  <si>
    <t>additive manufacturing, artificial intelligence decision support, bi tools, big data, cloud services, communication network, cyberphysical systems, cybersecurity,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robotics, semiconductors and nanotechnology, sensors vision processing systems, simulation engineering and modelling, software architectures, virtual reality</t>
  </si>
  <si>
    <t>Innovation and Training Park (ITP)</t>
  </si>
  <si>
    <t>The Digital Innovation Gateway for Kosovo (DIG-4K) project seeks to harness and foster digital transformation in Kosovo, a country at the Balkan crossroads facing unique socio-economic challenges and opportunities. 
The initiative is led by the Innovation and Training Park in Prizren (ITP) and aims to establish Kosovo as a hub for digital innovation and training. The project's objectives revolve around empowering local businesses, educational institutions, civil society organizations, and public stakeholders, thereby creating an ecosystem that supports entrepreneurial success and drives digital innovation at local, national, and regional levels. 
DIG-4K targets a wide range of groups including MSMEs, startups, industry associations, technology firms, public sector entities, educational institutions, CSOs, and rural communities. It aims to cater to the needs of Kosovo's diverse population, which is about 1.78 million, focusing on enhancing digital skills, supporting entrepreneurship, and promoting digital technology adoption across various sectors such as e-commerce, fintech, healthcare, education, and agriculture.</t>
  </si>
  <si>
    <t>Kosovo</t>
  </si>
  <si>
    <t>Besmir Krasniqi</t>
  </si>
  <si>
    <t>Uke Bytyqi, 20000 Prizren, Kosovo</t>
  </si>
  <si>
    <t>https://itp-prizren.com/</t>
  </si>
  <si>
    <t>agricultural biotechnology and food biotechnology, automotive, communityled local development, cultural and creative economy, education, environment, health care, smart city, telecommunications</t>
  </si>
  <si>
    <t>ecosystem building, innovation management, knowledge transfer, prototyping, public sector innovation, regional development, smart specialisation strategies, sme business development, sme support, technological innovation, technology transfer, vocational training</t>
  </si>
  <si>
    <t>artificial intelligence decision support, blockchain and distributed ledger technology dlt, cloud services, communication network, internet of things, internet services applications, mobility, new technologies for audiovisual sector media, robotics, software architectures, virtual reality</t>
  </si>
  <si>
    <t>Digital innovation hub for supporting the digital transformation of Montenegrin companies and the public sector</t>
  </si>
  <si>
    <t>MontEDIH is dedicated to facilitating the digital and green transformation of SMEs, small-midcaps, and public sector organizations in Montenegro and the EU, particularly focusing on fields such as Artificial Intelligence (AI), the Internet of Things (IoT), Blockchain, and High-Performance Computing (HPC).  Leveraging the specialized expertise and advanced infrastructure of its partners, MontEDIH offers a comprehensive array of services including financial and business consulting, knowledge and technology transfer, pre-investment assessments for technology integration, as well as digital and physical product testing and demonstration activities. 
The project strategically targets sectors with transformative potential in Montenegro, such as tourism, agriculture, energy &amp; environment, retail, manufacturing, and public administration. Employing a comprehensive strategy, MontEDIH will support every aspect of digital and green transformation, from strategy development and technology implementation to fostering a digital-first culture. By combining practical digitization projects, specialized educational and advisory services, and broad networking opportunities, MontEDIH encourages the development of a cohesive ecosystem that connects the business sector, scientific research institutions, business and innovation support institutions, the public sector, and policymakers. Its collaboration with the European Digital Innovation Hubs network amplifies its mission, enhancing access to advanced services and fostering a pan-European platform for innovation and expertise exchange. </t>
  </si>
  <si>
    <t>Montenegro</t>
  </si>
  <si>
    <t>Slavica Tomovic</t>
  </si>
  <si>
    <t>Cetinjski Put 2, 81000 Podgorica, Montenegro</t>
  </si>
  <si>
    <t>agricultural biotechnology and food biotechnology, cultural and creative economy, education, energy, environment, financial, fishery, health care, manufacturing and processing, maritime, public administration, real estate, retail, wholesale or distribution, smart city, telecommunications, travel and tourism</t>
  </si>
  <si>
    <t>ecosystem building, finance, knowledge transfer, prototyping, public sector innovation, sme business development, sme support, technological innovation</t>
  </si>
  <si>
    <t>artificial intelligence decision support, bi tools, blockchain and distributed ledger technology dlt, cloud services, communication network, cyberphysical systems, high performance computing, internet of things, internet services applications, quantum technologies computingcommunication, robotics, software architectures</t>
  </si>
  <si>
    <t>Digital Transformation and Green Transition of the Agri-Food Value Chain in Central and Northern Greece</t>
  </si>
  <si>
    <t>The Agri-Food sector is vital for regional GDP and for maintaining employment in Central and Northern Greece. However, it is severely lacking in digital maturity and capacity, competitiveness and access to disruptive technologies. #DigiAgriFood EDIH aims to empower the digital and green transformation of the entire spectrum of the Agri-Food value chain with immediate benefits for citizens, SMEs and public sector. It specializes in Artificial Intelligence technologies, Advanced Digital Skills, High Performance Computing and Digital Transformation and Interoperability and contributes directly to the missions and objectives of the "Digital Europe 2021-2027" program. It will help bring human-centred AI-solutions and unleash the powers of digital technologies to reach Europe’s common climate and environmental goals as set out in the European Green Deal, including being climate neutral by 2050, as well as strengthen the resilience of Europe’s industry and increase its open strategic autonomy. In total, five one-stop-shops and ten antennas/spots are planned to be fully operational covering the whole EDIH’s geographical area to ensure direct interaction with the target groups. #DigiAgriFood EDIH’s key objective is to exploit its complementary expertise at specific stages in the project cycle to achieve full synergy effect between partners. Consortium members apart from senior experts in their field and professors of the highest rank will also contribute with significant scientific infrastructure. The complementarity of the partners’ skills guarantees the balanced distribution of the workload and the establishment of strong cooperation. The management approach guarantees transparency and commitment to all partners and facilitates the successful execution of the project. #DigiAgriFood EDIH will strengthen and maximize the existing innovation ecosystem in all five Regions and has already explored collaborations with other EDIHs across the EU to create effective Corridors.</t>
  </si>
  <si>
    <t>MARIA MICHALOPOULOU</t>
  </si>
  <si>
    <t>12 Vasilissis Sofias, 67100 Xanthi, Greece</t>
  </si>
  <si>
    <t>agricultural biotechnology and food biotechnology, education, environment, food and beverages</t>
  </si>
  <si>
    <t>finance, knowledge transfer, regional development, smart specialisation strategies, sme support, technological innovation, technology transfer</t>
  </si>
  <si>
    <t>high performance computing, artificial intelligence decision support, cloud services, communication network, internet services applications, robotics</t>
  </si>
  <si>
    <t>Green Carpathian European Digital Innovation Hub</t>
  </si>
  <si>
    <t>The Green Carpathian European Digital Innovation Hub (GC-EDIH) is a one-stop shop dedicated to accelerating the green and digital transformation in Ukraine's Carpathian region. We support businesses, entrepreneurs, researchers, and public institutions by providing expertise, resources, and infrastructure in key areas including Automation, Smart Cities, High Performance Computing, Cyber Security, Energy Efficiency, Robotics, Renewables, Data Analytics, and AI.
As a collaborative innovation ecosystem, GC-EDIH offers comprehensive services including digital maturity assessments, cybersecurity evaluations, skills development, workshops, and matchmaking sessions. Our mission is to strengthen regional competitiveness, stimulate economic growth, and attract investments while enabling our clients to 'test before investing' in new technologies. Through our network of local and European partners, we're building a more sustainable and digitally advanced future in Ukraine.</t>
  </si>
  <si>
    <t>Valentyn Vasechko</t>
  </si>
  <si>
    <t>Yevgena Konovaltsa street, 35, Ivano-Frankivsk, 76018, Ukraine</t>
  </si>
  <si>
    <t>https://ukd.edu.ua/en/node/4389</t>
  </si>
  <si>
    <t>agricultural biotechnology and food biotechnology, automotive, communityled local development, construction assembly, consumer products, cultural and creative economy, defence, education, electricity, energy, energy, fuels and petroleum engineering, environment, financial, legal aspects, manufacturing and processing, personal services, public administration, real estate, regulation, security, smart city, telecommunications, transport mobility, transport sector, travel and tourism</t>
  </si>
  <si>
    <t>artificial intelligence decision support, big data, blockchain and distributed ledger technology dlt, chemical engineering plants, products, cloud services, communication network, cyberphysical systems, cybersecurity, digital twins, displays, gamification, high performance computing, human computer interaction, internet of things, internet services applications, micro and nanoelectronics, optoelectronics, mobility, new technologies for audiovisual sector media, organic and large area electronics, robotics, simulation engineering and modelling, software architectures, virtual reality</t>
  </si>
  <si>
    <t>European Digital Innovation Hub DigitMak</t>
  </si>
  <si>
    <t>DigitMak aims to contribute to the objectives of the Digital Europe Programme hence improving the growth and competitiveness of the SMEs and small mid-caps, as well as, to increase the digital and green transformation of the public sector organisations through provision of integrated set of an EDIH services in support of testing before investing, training and skills development, support to find investments, networking and access to innovation ecosystems. DigitMak will achieve this through the mobilisation of the efforts of the major players in this area in the country: Ss. Cyril and Methodius University in Skopje (UKIM), as coordinator; Economic Chamber of North Macedonia (ECNM); Business Accelerator UKIM (BAU); and Foundation for Management and Industrial Research (MIR) as beneficiaries. It owns physical infrastructure (office, training facilities, showroom facilities, testing and experimentation equipment and laboratories). DigitMak project will cover the four strategic priority areas, specified in the Smart Specialization Strategy of North Macedonia: (1) Smart Agriculture and Food with Higher Added-Value; (2) Information and Communication Technologies (ICT); (3) Electro-Mechanical Industry - Industry 4.0; and (4) Sustainable Materials and Smart Buildings. It will provide activities complementary with the five key areas of the Digital Europe Programme: Supercomputing, Artificial intelligence, Cybersecurity, Advanced digital skills, and wide use of Digital technologies across the economy and society. Digitmak will cooperate with other EDIHs and other projects from the Digital Europe Programme developing capacities.
DigitMak will implement a targeted strategy aimed at building capacities and delivering value-added services that align with the Digital Europe Programme objectives. The focus will be on enhancing the digital transformation, sustainability, growth, productivity, and competitiveness of the private and public entities supported by DigitMak. To achieve this, DigitMak will adopt a gradual and systematic approach, leveraging the rapid advancements in digital technology that have created new, time-efficient, and cost-effective opportunities for both private and public sector organizations.</t>
  </si>
  <si>
    <t>Petre Lameski</t>
  </si>
  <si>
    <t>Ruger Boskovik 16, 1000 Skopje, North Macedonia</t>
  </si>
  <si>
    <t>https://digitmak.mk</t>
  </si>
  <si>
    <t>agricultural biotechnology and food biotechnology, automotive, communityled local development, construction assembly, consumer products, cultural and creative economy, defence, education, energy, fuels and petroleum engineering, environment, financial, food and beverages, health care, leather, legal aspects, life sciences, life sciences, manufacturing and processing, metal working and industrial production, nmp nonmetallic materials basic processes, paper and wood, personal services, polymers and plastics, public administration, regulation, security, smart city, telecommunications, textiles, transport mobility, transport sector, travel and tourism</t>
  </si>
  <si>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quantum technologies computingcommunication, robotics, semiconductors and nanotechnology, sensors vision processing systems, simulation engineering and modelling, software architectures, virtual reality</t>
  </si>
  <si>
    <t>Artificial Intelligence for DIGItal Transformation in Albania Innovation Hub</t>
  </si>
  <si>
    <t>AI4DigiT is an initiative founded by the University of Tirana (UT), the National Agency for Information Society (NAIS), and the Chamber of Commerce and Industry in Tirana (CCIT) to facilitate digital and green transformation, improve access to funding, and promote innovative AI-driven solutions. Its primary objective is to enhance customer experiences and optimize products and services for local small and medium-sized enterprises (SMEs) as well as the public sector in Albania. 
What makes AI4DigiT unique is its emphasis on leveraging AI for low-resource languages, particularly Albanian, and its regional expansion. The initiative aims to support businesses in Albanian-speaking communities across the Balkans, fostering technological advancement and economic growth.</t>
  </si>
  <si>
    <t>Kreshnik Vukatana</t>
  </si>
  <si>
    <t>BLV: Dëshmorët e Kombit, 1000, Tirana, Albania</t>
  </si>
  <si>
    <t>agricultural biotechnology and food biotechnology, construction assembly, consumer products, cultural and creative economy, education, environment, financial, fishery, food and beverages, leather, legal aspects, manufacturing and processing, personal services, public administration, real estate, regulation, retail, wholesale or distribution, security, telecommunications, textiles, transport mobility, transport sector, travel and tourism</t>
  </si>
  <si>
    <t>ecosystem building, finance, knowledge transfer, prototyping, public sector innovation, regional development, smart specialisation strategies, sme business development, sme support, technological innovation, technology transfer, vocational training</t>
  </si>
  <si>
    <t>artificial intelligence decision support, bi tools, big data, cybersecurity, digital twins, high performance computing, human computer interaction, internet of things, internet services applications, locationbased applications, logistics, mobility, quantum technologies computingcommunication, software architectures</t>
  </si>
  <si>
    <t>EDIH Bretagne - One-stop shop to accelerate the digitization and Cybersecurity of SMEs/MCs/PSOs through training, test before invest, support to find investment and EU networking services</t>
  </si>
  <si>
    <t>EDIH Bretagne is a one-stop shop to accelerate the digitization and Cybersecurity of SMEs/MCs/PSOs having innovation at the heart of its value proposition, and working in the key sectors of S3 of the Brittany Region: digital society, maritime, health, industrial applications and agri-food, through training, test before invest, support to find investment and EU networking services. It aims to boost regional R&amp;D&amp;I to increase the competitiveness of regional players by offering them new tools and the support they need. For companies (mainly SMEs), this means ensuring their digital transformation by offering them a set of individual services that are part of a journey that begins with a maturity assessment and a digital diagnosis (including Cyber and/or AI) followed by an action plan, according to their needs. The services will be provided on an open, transparent and non-discriminatory basis. The project targets SMEs (&gt;10 employees) as a priority, MCs (</t>
  </si>
  <si>
    <t>Manon Le Yeuc’h</t>
  </si>
  <si>
    <t>Bâtiment bcom, 1219 Avenue des Champs Blancs, 35510 Cesson-Sévigné, France</t>
  </si>
  <si>
    <t>agricultural biotechnology and food biotechnology, defence, education, health care, manufacturing and processing, maritime, public administration, security, smart city, space, telecommunications</t>
  </si>
  <si>
    <t>field trial, finance, sme support, innovation management, knowledge transfer, prototyping, smart specialisation strategies, technological innovation, technology transfer, vocational training</t>
  </si>
  <si>
    <t>artificial intelligence decision support, big data, cloud services, communication network, cybersecurity, digital twins, high performance computing, internet of things, internet services applications, laserbased manufacturing and materials processing, locationbased applications, micro and nanoelectronics, optoelectronics, mobility, photonics, sensors vision processing systems, simulation engineering and modelling, software architectures, virtual reality</t>
  </si>
  <si>
    <t>European Digital Innovation Hub “Kyiv HiTech”</t>
  </si>
  <si>
    <t>A key platform uniting different stakeholders of Kyiv region and other regions of Ukraine through digital innovation. We support businesses and public organizations in implementing cutting-edge technologies such as artificial intelligence, blockchain, cybersecurity, the Internet of Things, cloud computing, additive manufacturing, digital twins, and data spaces. Our expertise covers AgriTech, Industry 4.0, MedBioTech, Energy 4.0, industrial electronics, and Smart Cities.
We offer services to support the digital transformation, international cooperation, and integration with European digital ecosystem.</t>
  </si>
  <si>
    <t>Lesia Sobolevska</t>
  </si>
  <si>
    <t>42a Winston Churchill Street, Kyiv, 02094, Ukraine</t>
  </si>
  <si>
    <t>https://www.edih-kyivhitech.com/</t>
  </si>
  <si>
    <t>agricultural biotechnology and food biotechnology, communityled local development, construction assembly, defence, education, electricity, energy, energy, fuels and petroleum engineering, environment, financial, food and beverages, health care, manufacturing and processing, metal working and industrial production, mining and extraction, nmp nonmetallic materials basic processes, personal services, security, smart city, telecommunications, transport mobility, transport sector</t>
  </si>
  <si>
    <t>additive manufacturing, artificial intelligence decision support, big data, blockchain and distributed ledger technology dlt, chemical engineering plants, products, cloud services, communication network, cyberphysical systems, cybersecurity, data, digital twins, high performance computing, human computer interaction, internet of things, internet services applications, laserbased manufacturing and materials processing, locationbased applications, micro and nanoelectronics, optoelectronics, photonics, quantum technologies computingcommunication, robotics, semiconductors and nanotechnology, sensors vision processing systems, simulation engineering and modelling, software architectures, virtual reality</t>
  </si>
  <si>
    <t>Intelligent and Secure Trustable Systems enabling Digital Transformation</t>
  </si>
  <si>
    <t>The ENTIRE European Digital Innovation Hub is a non-profit initiative focusing on organizations active in the digitalisation of Life Sciences / Healthtech, Agriculture, Energy and Transport sectors, advancing the exploration, exploitation, and investment by Irish SMEs and public authorities in the utilisation of intelligent secure IoT sensors, networks, and software. ENTIRE brings together the strongest innovation experts in digital technologies from across the Southern Region of Ireland. The ENTIRE Digital Innovation Hub’s strategic mission is to offer the innovation expertise of Tyndall in IoT Smart Sensors, Walton Institute in IoT Networks and HPC, MTU in Cybersecurity, UCC in Artificial Intelligence, and Skillnet in SME Digital Skills Onboarding as well as to broker all necessary technical, business, financial, investment and training support services across the value chain. By doing this, the ENTIRE Hub will help companies, in particular SMEs, start-ups, and public authorities to become more competitive by using digital technologies in their business/production processes, products or services. ENTIRE’s region spans nine counties (the six Munster counties as well as Kilkenny, Wexford, and Carlow), supported by 10 Local Authorities. The Southern Region hosts approx. 100,000 SMEs (employing over 295,000 people) and 386 Multinational Enterprises employing over 75,000 people. The ENTIRE central front-office will be located at the Tyndall campus in Cork but the EDIH will have locations in Cork (x3), Tralee, Waterford and Dublin. ENTIRE staff will have access to, and be accommodated, at each site.</t>
  </si>
  <si>
    <t>Paul Galvin</t>
  </si>
  <si>
    <t>Lee Maltings Complex, Dyke Parade, Cork, Co. Cork, Ireland</t>
  </si>
  <si>
    <t>https://entire-edih.ie/</t>
  </si>
  <si>
    <t>agricultural biotechnology and food biotechnology, health care, education, energy, environment, life sciences, smart city</t>
  </si>
  <si>
    <t>prototyping, smart specialisation strategies, circular economy, ecosystem building, regional development</t>
  </si>
  <si>
    <t>artificial intelligence decision support, cybersecurity, internet of things, micro and nanoelectronics, optoelectronics, semiconductors and nanotechnology, photonics</t>
  </si>
  <si>
    <t>Public, private, people partnership Digital Innovation Hub</t>
  </si>
  <si>
    <t>The 4PDIH consortium consists of the key players in Slovenia when it comes to digital transformation of the industry, public administration and society as a whole. All partners are well recognized at home and abroad, have rich experience and already established local and international networks of partners and stakeholders. The partnership consists of 4 different types of organizations, covering the entire Slovenian geographical area and key areas of EDIH's operation with their specialized sectoral orientations, i.e. 1. innovative environment support organizations; 2. knowledge institutions; 3. companies; 4. municipalities. By following recommended guidelines for the operation of EDHIs, 4PDIH will be organized sectorally and managerially, as well as linking both, the public and the private sector, to fully underpin vision of the EU digital ecosystem. The partnership structure of the EDIH covers all topic areas of the DEP and demonstrates exceptional international and national cohesion. As such, the partnership can address digital transformation in a structured and holistic way, embodied by consortium’s unique interdisciplinary orientation which will importantly contribute to EU's vision to become a world leader in human-centric digital transformation. 4PDIH's vision is therefore to provide technological knowledge (with a special focus on AI), expertise, and experimentation facilities in order to successfully strengthen the local economy with innovative digital technologies in the industry and public administration. Through the operation of this EDIH, the efficient and sustainable use of the EDIH capacities and resources according to the needs of stakeholders in the economy and society as a whole will be assured, resulting in a wide range of long-lasting and interconnected impacts of increased innovation activity, increased digital competences, increased funding for innovative solutions and increased collaboration and innovation ecosystem expansion.</t>
  </si>
  <si>
    <t>Jure Trilar</t>
  </si>
  <si>
    <t>Tržaška cesta 25, 1000 Ljubljana, Slovenia</t>
  </si>
  <si>
    <t>https://www.4pdih.com</t>
  </si>
  <si>
    <t>agricultural biotechnology and food biotechnology, communityled local development, education, manufacturing and processing, public administration, smart city, telecommunications</t>
  </si>
  <si>
    <t>circular economy, ecosystem building, field trial, innovation management, prototyping, public sector innovation, regional development, sme business development, sme support, technological innovation, vocational training</t>
  </si>
  <si>
    <t>artificial intelligence decision support, big data, blockchain and distributed ledger technology dlt, cybersecurity, gamification, high performance computing, human computer interaction, internet of things, virtual reality, quantum technologies computingcommunication</t>
  </si>
  <si>
    <t>European Digital Innovation Hub of Navarre</t>
  </si>
  <si>
    <t>European Digital Innovation Hub of Navarre (IRIS) is Navarre’s digital transformation accelerator, providing companies and public sector with high added-value services for experimentation, access to training, technological infrastructures and financial support, through a dynamic and interconnected ecosystem with access to best practices and technological players at national and European levels, strongly committed to becoming a relevant player in the EDIH network, expanding its collaboration outreach to other European regions. IRIS, with full support from the Regional Government of Navarre, is coordinated by ADItech and participated by the Region’s most relevant innovation ecosystem players, including Universities, RTOs, ICT providers, professional organizations and sectoral clusters, with an already ongoing track record of collaborations, and as a seamless space to address challenges, with Artificial Intelligence and High Performance Computing as clear driving technologies, and a focus on the Region’s main economic sectors i.e., automotive and mechatronic, agri-food, renewable energies, healthcare, and public sector, a reason for which Personalized Precision Medicine is one of its key performing areas. Fully aligned with its S4 strategy, IRIS is part of a major ambitious project under development along the 2020-2026 period aimed to improve the region’s digital innovation setup and capabilities.</t>
  </si>
  <si>
    <t>Andrea Urrecho</t>
  </si>
  <si>
    <t>Calle tajonar 20, 31006 Pamplona Navarra, Spain</t>
  </si>
  <si>
    <t>https://www.irisnavarra.com/edih/</t>
  </si>
  <si>
    <t>agricultural biotechnology and food biotechnology, food and beverages, life sciences, health care, manufacturing and processing, public administration, retail, wholesale or distribution, transport mobility, energy, travel and tourism, automotive, environment, cultural and creative economy</t>
  </si>
  <si>
    <t>ecosystem building, finance, innovation management, knowledge transfer, prototyping, public sector innovation, smart specialisation strategies, technological innovation, sme support, vocational training, field trial, regional development</t>
  </si>
  <si>
    <t>artificial intelligence decision support, big data, high performance computing, industrial biotechnology, micro and nanoelectronics, optoelectronics, sensors vision processing systems, semiconductors and nanotechnology, digital twins, virtual reality, simulation engineering and modelling, additive manufacturing, internet of things, cybersecurity, blockchain and distributed ledger technology dlt</t>
  </si>
  <si>
    <t>InnDIH - Valencia Region Digital Innovation Hub</t>
  </si>
  <si>
    <t>InnDIH is the Valencian Region European Digital Innovation Hub (EDIH) which represents the centralized public-private initiative in the region for the digitization of SMEs and public administration and boost the economic development of the Valencian Region. InnDIH represents the alliance among the business ecosystem, universities, technology and research centres, biotechnology-health research institutes and public administrations, focusing on Artificial Intelligence (AI), as well as other technologies such as HPC, Cybersecurity, Big Data and Robotics, covering mainly Advanced Manufacturing and Quality of life &amp; Health sector, vey in line with the Valencian S3 strategy.
InnDIH’s strength is based on the infrastructures for experimentation and the technological, business and access to finance knowledge of the partners of a consortium led by ITI, in combination with a solid experience and connections at the European level, conforming a complete and complementary ecosystem for the provision of high value digitalization services to SMEs and Public Administrations (PAs) for technology uptake, support and definition of new business models, organized in 4 blocks: Test before invest, Training and skills, Support to find investments and Innovation ecosystem and networking. This set of services is based on demonstration, enabling and experimentation infrastructures and it is adapted to the needs of the territory, and thanks to the support received from the European Commission, the Ministry of Industry, Trade and Tourism, and the Valencian Region Government, the companies receiving them do not have to pay anything.
Project activities and results will be actively disseminated by the consortium, collaborating with Digital Transformation Accelerator (DTA) and other EU networks, organizing events and meetings at EU and regional level with stakeholders, policy-makers, EEN, etc. InnDIH portfolio of services will be reinforced by the links with the EDIH network, solving other users’ technology needs, starting from the 26 corridors already set (6 individual ones, 20 from EuHubs4Data). In a nutshell, InnDIH grows in a rich ecosystem, following the EU’s objective to attain industrial and social wealth through the green and digital transition. Its participation as an EDIH in the DIGITAL programme is a key element to boost digitalization in the Valencia region.</t>
  </si>
  <si>
    <t>Oscar VALLE BALLESTEROS</t>
  </si>
  <si>
    <t>C. Nicolás Copérnico, 7, 46980 Paterna Valencia, Spain</t>
  </si>
  <si>
    <t>https://www.inndih.com/en/</t>
  </si>
  <si>
    <t>agricultural biotechnology and food biotechnology, health care, manufacturing and processing, telecommunications, travel and tourism, textiles</t>
  </si>
  <si>
    <t>knowledge transfer, prototyping, public sector innovation, sme business development, finance, sme support, technological innovation, technology transfer, vocational training</t>
  </si>
  <si>
    <t>artificial intelligence decision support, big data, cyberphysical systems, cybersecurity, digital twins, human computer interaction, internet of things, robotics, high performance computing, sensors vision processing systems, virtual reality, additive manufacturing</t>
  </si>
  <si>
    <t>Murcia Region DIH</t>
  </si>
  <si>
    <t>Murcia region industrial sector and, particularly, SMEs are aware of the high need of digital transformation to maintain their competitiveness and adapt to an increasingly dynamic and global ecosystem. However, the low awareness about digital technologies, an insufficient innovation culture and the need for substantial investment represent a burden for Murcia region companies, which are micro-SMEs in a vast majority. In this sense, Agora EDIH is born in 2020 from the scaffold of a previous Digital Innovation Hub, the Innovation for Manufacturing in the South (I4MSOUTH) created in 2016, and a querying process within the main innovation actors in Murcia Region. Agora EDIH is composed of 6 institutions, namely 2 universities, 2 Innovation and Enterprise European Centres, a Technology Centre and the Regional Development Agency of Murcia, which are the critical players to develop the key enabling technologies of Agora EDIH, Cybersecurity and AI, for digital transformation in Industry 4.0 within the different sectors highlighted on the Specialization Strategy of the Region (RIS3Mur). Particularly, Agora EDIH will focus on Agrofood, quality of life, driving activities and energy and sea and marine affairs. Agora EDIH will operate to support SMEs in every step of the process of acquiring new technologies needed to implement digital transformation. Besides these self-managed actions, Agora EDIH will build longstanding collaborative projects with other EDIHs to create a symbiotic environment by sharing resources, experiences and know-how and extend the services offered to their SMEs. The vision of this EDIH is that facilitating digital transformation of companies in RIS3Mur prioritized sectors and activities, will contribute to productivity, new businesses models and exacerbate industrial competitiveness of Murcia region.</t>
  </si>
  <si>
    <t>Carlos Miras Marin</t>
  </si>
  <si>
    <t>Avenida de la Fama 3, 30003 Murcia Murcia, Spain</t>
  </si>
  <si>
    <t>https://agoradih.es/</t>
  </si>
  <si>
    <t>agricultural biotechnology and food biotechnology, food and beverages, manufacturing and processing, environment, travel and tourism</t>
  </si>
  <si>
    <t>sme support, ecosystem building, finance, innovation management, technology transfer, prototyping, technological innovation, vocational training</t>
  </si>
  <si>
    <t>cybersecurity, artificial intelligence decision support, internet of things, robotics, cyberphysical systems</t>
  </si>
  <si>
    <t>Science Technology Park Belgrade</t>
  </si>
  <si>
    <t>STP Belgrade is a catalyst for economic growth based on innovations, technologies and knowledge. The mission of STP Belgrade is to create an environment that encourages creation and accelerated development of innovative technology companies. STP Belgrade helps innovative technological companies to reduce risk and accelerate their development, facilitates cooperation between business and science, encourages networking, enables the transfer of the best world practice in the development of the knowledge economy, in cooperation with decision makers creates a more favourable climate for the development and commercialization of innovations, and promotes innovative entrepreneurship and ecosystem.STP Belgrade services cover following areas:- innovation education- startup incubation &amp; acceleration- boosting growth of scaleups &amp; innovative SMEs- softlanding- commercialization of research Science Technology park Belgrade has been founded in partnership of the Government of the Republic of Serbia, City of Belgrade and University of Belgrade and has contributed significantly to innovation ecosystem in Serbia through its innovation programs, but also through:1) Provision of inputs and know-how for regulatory changes STP Belgrade has been providing advice and know-how for the majority of regulatory changes concerning innovation and entrepreneurship development, such as development of the first National Strategy on Startup Ecosystem Development, Guidance on IP at University of Belgrade, Serbian Strategy of Scientific and Technological Development and other relevant laws and strategies regarding innovation and startup ecosystem2) Enabling linkages with European innovationScience Technology Park Belgrade has helped the Entrepreneurial Discovery Process that led to development of Serbian Smart Specialization Strategy. Collaboration on the EU project Establishment of the Open Innovation System of the Adriatic-Ionian Region ( OISAIR Adrion) with partners from Europe and Western Balkans led to increasing cooperation and knowledge sharing. Science Technology Park Belgrade has been presented as a best practice model at numerous JRC conferences, including at the European Parliament in Brussels. STP Belgrade is also the coordinator of the consortium pre-selected as a candidate from Serbia, to submit proposal for the call Network of European Digital Innovation Hubs – Associated Countries.3) Gathering and connecting community of innovation professionals Science technology park Belgrade is well recognized among the innovative community as a place for students, innovative companies, organizations, domestic and foreign delegations from science, business, representatives of the public and private sector where the latest trends in the field of innovation can be heard, new knowledge acquired, connections made, work presented and promoted, etc. Science Technology Park Belgrade has been host and organizer of numerous event, including the networking event with trade and economic representatives of embassies of more than 15 EU countries, signing the Agreement on the joint project of the European Union and the World Bank for the growth of research, innovation and entrepreneurship in Serbia, as well as promotion of The Digital Europe Programme in Serbia). </t>
  </si>
  <si>
    <t>Jelena Petrovic</t>
  </si>
  <si>
    <t>https://ntpark.rs/</t>
  </si>
  <si>
    <t>agricultural biotechnology and food biotechnology, automotive, consumer products, cultural and creative economy, education, energy, environment, food and beverages, life sciences, telecommunications, smart city, transport mobility, legal aspects</t>
  </si>
  <si>
    <t>ecosystem building, innovation management, knowledge transfer, prototyping, regional development, sme business development, sme support, technological innovation, technology transfer</t>
  </si>
  <si>
    <t>artificial intelligence decision support, big data, blockchain and distributed ledger technology dlt, cybersecurity, gamification, industrial biotechnology, internet of things, internet services applications, virtual reality, quantum technologies computingcommunication, robotics, sensors vision processing systems, software architectures</t>
  </si>
  <si>
    <t>Business Technology Incubator of Technical Faculties Belgrade</t>
  </si>
  <si>
    <t>The Business Technology Incubator of Technical Faculties Belgrade (BITF) is Serbia’s first and leading business technology incubator that provides comprehensive support to young, educated people in developing innovative ideas and starting their own businesses (more than 120 start-up companies supported). For more than a decade, BITF has maintained close links with young innovators and students and through numerous activities and trainings encourages the development of new startup teams, the commercialization of innovation and R&amp;D results, as well as the creation of new hi-tech SMEs. Founded by four technology faculties of the University of Belgrade, the Municipality of Palilula and the Democratic Transition Initiative, today BITF is a part of Science Technology Park Belgrade (STP Belgrade) in charge for supporting startups at the early stages of development (Incubation Program).
We participated in the development of the Stratap Ecosystem Strategy of the Republic of Serbia for the period 2021-2025.We participate in the implementation of the StarTech program organized by NALED, which is aimed at financing the digital transformation of MSMEs.As DIH, we are partners in the DIH4AI Cognition-driven predictive  maintenance of Solar power plants project financed by European Commissionwithin the Horizon 2020 Project entitled ‘DIH4AI AI on-demand platform for regional interoperable DIHs Network’. </t>
  </si>
  <si>
    <t>Jovana Vasic</t>
  </si>
  <si>
    <t>https://ntpark.rs/en/incubator/</t>
  </si>
  <si>
    <t>agricultural biotechnology and food biotechnology, automotive, communityled local development, construction assembly, consumer products, education, electricity, environment, financial, health care, manufacturing and processing, personal services, retail, wholesale or distribution, telecommunications, smart city</t>
  </si>
  <si>
    <t>ecosystem building, innovation management, knowledge transfer, prototyping, regional development, smart specialisation strategies, technological innovation, technology transfer</t>
  </si>
  <si>
    <t>additive manufacturing, artificial intelligence decision support, big data, bi tools, blockchain and distributed ledger technology dlt, communication network, displays, gamification, internet of things, internet services applications, laserbased manufacturing and materials processing, logistics, virtual reality, robotics, software architectures</t>
  </si>
  <si>
    <t>Digital Innovation Hub ONEX</t>
  </si>
  <si>
    <t>DIH ONEX consortium is a prominent provider of digital innovation solutions and services in the Republic of Srpska region/Bosnia and Herzegovina. Our mission is to drive growth and success for our esteemed clients through innovation, creativity, and strategic thinking.DIH ONEX specializes in assisting businesses in leveraging state-of-the-art technologies and emerging trends to sustain their competitive advantage and accomplish their objectives. Whether they aspire to streamline their operations, enhance client engagement, or unlock novel revenue streams, we possess the requisite proficiency and experience to facilitate their growth and success.DIH ONEX team consists of 30 professionals.
At ONEX, we pride ourselves on our commitment to collaboration, innovation, and client satisfaction. We work closely with each of our clients to understand their unique needs and goals, and to develop customized solutions that deliver tangible results.ONEX has prioritized five high-growth thematic sectors, namely Agri-food, Manufacturing, Financial, Tourism, and Construction, and has aligned them with green deal principles to encourage efficient resource utilization and transition towards a clean, circular economy. Additionally, we have engaged creative actors who bring innovative and out-of-the-box thinking to the table, thereby facilitating the generation of novel solutions.Our selection of appropriate partners and their core competencies has been guided by a thorough analysis of the digitalization needs of our target groups in the high-growth thematic sectors. By leveraging the strengths and expertise of our partners, we aim to achieve optimal outcomes that drive growth and success for our clients. </t>
  </si>
  <si>
    <t>Bosnia and Herzegovina</t>
  </si>
  <si>
    <t>Bojan Cudic</t>
  </si>
  <si>
    <t>Akademika Jovana Surutke 19, 78000 Banja Luka, Bosnia and Herzegovina</t>
  </si>
  <si>
    <t>https://onex.digital/en/edih</t>
  </si>
  <si>
    <t>agricultural biotechnology and food biotechnology, automotive, construction assembly, consumer products, cultural and creative economy, education, energy, environment, financial, fishery, food and beverages, health care, leather, manufacturing and processing, metal working and industrial production, public administration, real estate, retail, wholesale or distribution, telecommunications, textiles, travel and tourism, paper and wood, smart city</t>
  </si>
  <si>
    <t>additive manufacturing, artificial intelligence decision support, big data, bi tools, cloud services, cybersecurity,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robotics, sensors vision processing systems, software architectures</t>
  </si>
  <si>
    <t>Slovak Centre of Digital Innovations</t>
  </si>
  <si>
    <t>The Slovak Centre for Digital Innovations EDIH is best positioned to support the ambitions of the Digital Europe Programme 2021-2027, designed to ensure that Europe embraces the digital transformation of the economy and society. ur EDIH, the Slovak Center for Digital Innovations was founded by industry associations. We managed to achieve unique situation. Representatives of key industries, engineering, chemistry, IT, electrical engineering, pulp and paper, have agreed on the need to have an EDIH that will provide what they really need. We know the needs of companies and we will put them first. Most important public research institutions in Slovakia have agreed with this approach and become our partners. Our experts come from the most important technical research institutions, the Slovak University of Technology in Bratislava and the Slovak Academy of Sciences. We have access to more than 100 IT companies associated in the IT Association of Slovakia and 25 industrial research organizations associated in the Association of Industrial R&amp;D Organizations. Some of them decided to participate on SCDI activities as the Affiliated Entities We have partners specialized in cybersecurity, artificial intelligence, digital skills development and innovations management. We see digitization as a tool to meet the transformation goals of companies. The result will be savings, higher productivity, business growth, meeting environmental goals and employment in better-ranked positions.mart processes and technologies are in the very center of our attention. We bring added value to the “digitization as usual” areas of embedded systems and the Internet of Things as well as in in the field of artificial intelligence, advanced data analysis and high-performance computing. We want to do the digital transformation correctly. This means responsibly from an environmental point of view as well as from a perspective of a workforce that may be at risk.</t>
  </si>
  <si>
    <t>Emil Fitos</t>
  </si>
  <si>
    <t>Mlynské nivy 18890/5, 821 09 Bratislava, Slovakia</t>
  </si>
  <si>
    <t>https://www.scdi.tech/</t>
  </si>
  <si>
    <t>agricultural biotechnology and food biotechnology, automotive, construction assembly, education, energy, manufacturing and processing, metal working and industrial production, nmp nonmetallic materials basic processes, paper and wood, polymers and plastics, retail, wholesale or distribution, smart city, security</t>
  </si>
  <si>
    <t>circular economy, innovation management, knowledge transfer, prototyping, public sector innovation, smart specialisation strategies, sme support, technological innovation, technology transfer</t>
  </si>
  <si>
    <t>additive manufacturing, artificial intelligence decision support, chemical engineering plants, products, cyberphysical systems, cybersecurity, digital twins, internet of things, laserbased manufacturing and materials processing, logistics, micro and nanoelectronics, optoelectronics, sensors vision processing systems, simulation engineering and modelling, software architectures, virtual reality</t>
  </si>
  <si>
    <t>EXTREMADURA EDIH T4E: Tech for Efficiency</t>
  </si>
  <si>
    <t>Technologies for the Efficiency Digital Innovation Hub (T4E EDIH) is a one-stop-shop for digitalization specialized in the following four conceptual areas: technologies for efficiency, mainly on the use of energy; technologies for ecology, new technologies to promote greening and sustainability in SMEs; technologies for the economy, oriented to develop and implement industry 4.0 and finally technologies for equality, which refers to technologies at the service of the society. T4E is a joint competence centre constituted by a cohesive group of 11 entities, integrated by competence centres, business support organizations and innovation facilitators fully connected at the EU level to foster fruitful interactions with external SMEs to lead the digitalization and business journey of companies and services to the society in the above-described areas. T4E EDIH aims is entirely aligned with the transformation of a greener and more digitalized Europe with the use of Cybersecurity, Artificial Intelligence and High-performance computing. In the project time framework, multiple services for EU SMEs will be provided in the types of Testing and experiments, Training services, Financing search support and Innovation ecosystems and networks.</t>
  </si>
  <si>
    <t>Jose Antonio Recio Cuesta</t>
  </si>
  <si>
    <t>Avenida de elvas campus universitario edificio parque cientifico tecnologico, 06071 Badajoz Badajoz, Spain</t>
  </si>
  <si>
    <t>http://www.dih4e.eu/</t>
  </si>
  <si>
    <t>agricultural biotechnology and food biotechnology, cultural and creative economy, energy, environment, health care, manufacturing and processing, travel and tourism</t>
  </si>
  <si>
    <t>circular economy, ecosystem building, innovation management, knowledge transfer, technology transfer, sme support, prototyping, public sector innovation</t>
  </si>
  <si>
    <t>artificial intelligence decision support, cybersecurity, high performance computing, virtual reality, cyberphysical systems, blockchain and distributed ledger technology dlt, digital twins, new technologies for audiovisual sector media</t>
  </si>
  <si>
    <t>Centre of Innovation for Data Tech and Artificial Intelligence</t>
  </si>
  <si>
    <t>The Government of Catalonia approved in February 2020 the Catalonia.AI Artificial Intelligence Strategy, a strategic country plan focused on artificial intelligence (AI) aligned with the goals of the European Commission in this area. This strategy, as outlined in the document of the same name, deploys a program of specific actions to strengthen the AI ecosystem in Catalonia and lead in generating knowledge, social and business application, and the creation of AI-based solutions that promote economic growth and improve the quality of life for citizens. The objectives associated with the implementation of the strategy are as follows: • Ecosystem: Promote a cross-cutting governance model to support the development of a coordinated and connected AI ecosystem with the world. • Research and Innovation: Boost research and innovation through the application of specific instruments and the establishment of synergies between the administration, specialized research and innovation centers, and organizations heavily involved in AI. • Talent: Create, attract, and retain specialized talent to drive the development of AI solutions and the transfer of knowledge to society, while also enabling citizens and professionals from other sectors to address its impact. • Infrastructure and Data: Have the necessary infrastructure for AI development and facilitate secure access to public and private data. • Adoption of AI: Encourage the incorporation of AI as an innovation driver in the administration and in strategic sectors such as agri-food, health and well-being, the environment, mobility, tourism, culture, and industry, among others. • Ethics and Society: Promote the development of ethical AI that respects current legality, is compatible with our social and cultural norms, and focuses on people. The CIDAI, the Center for Data and Artificial Intelligence Innovation, is the component of the Catalonia.AI strategy responsible for implementing activities related to innovation, the technological ecosystem, and knowledge dissemination to foster the adoption of AI and data technologies globally (in business, administration, society). CIDAI is an association composed of public administration bodies, companies, and technological centers that came into effect on February 24, 2020, through the signing of the collaboration agreement document, which establishes that Eurecat is responsible for its operational coordination. The Steering Committee is the highest governing body of CIDAI (Center for Data and Artificial Intelligence). This Committee is composed of all the Promoter Partners, each represented by the individual they designate for this purpose. At the time of its establishment, the CIDAI Steering Committee will consist of the founding Promoter Partners who signed the agreement for the establishment of CIDAI, which are: • Government of Catalonia • Barcelona City Council • Eurecat Foundation • Barcelona Super Computing Centre – National Supercomputing Center • Computer Vision Center Consortium • NTT Data • I2CAT Foundation, Internet and Digital Innovation in Catalonia • Microsoft Ibérica, S.R.L., • SDG Consulting España, • HUAWEI • SAP • IDEAI – UPC (La Universitat Politècnica de Catalunya - BarcelonaTech (UPC)) The presidency of the Steering Committee falls to the representative of the Government of Catalonia, as established in the agreement for the establishment of CIDAI.</t>
  </si>
  <si>
    <t>Eurecat</t>
  </si>
  <si>
    <t>Carrer de bilbao, 72, 08005 Barcelona Barcelona, Spain</t>
  </si>
  <si>
    <t>https://cidai.eu/</t>
  </si>
  <si>
    <t>agricultural biotechnology and food biotechnology, cultural and creative economy, education, energy, environment, health care, life sciences, manufacturing and processing, metal working and industrial production, nmp nonmetallic materials basic processes, personal services, public administration, retail, wholesale or distribution, telecommunications, textiles, travel and tourism, polymers and plastics, security, smart city, transport mobility</t>
  </si>
  <si>
    <t>circular economy, ecosystem building, innovation management, knowledge transfer, prototyping, public sector innovation, regional development, sme support, technological innovation, technology transfer</t>
  </si>
  <si>
    <t>additive manufacturing, artificial intelligence decision support, big data, bi tools, cloud services, cybersecurity, digital twins, high performance computing, internet of things, mobility, new technologies for audiovisual sector media, virtual reality, quantum technologies computingcommunication, robotics, sensors vision processing systems</t>
  </si>
  <si>
    <t>Bayerische Gesellschaft für Innovation und Wissenstransfer mbH</t>
  </si>
  <si>
    <t>On behalf of the Bavarian government, Bayern Innovativ perfoms a bundling function for already existing activities in the areas of digitisation and develops them further in a sustainable manner. With its business offices in Munich and Nuremberg, Bayern Innnovativ acts as a coordinator for numerous actions, and provides services to the Bavarian ecosytem: * Thematic platforms: Networking between entrepreneurs and scientists concerning key themes of digitisation. We connect the following industries and communities: Mobility, Energy, Health, Materials, Production, Work 4.0, Cybersecurity, Land Management, 6G, Quantum, Smart Cities &amp; Regions, Cybersecurity, Responsible Digitalisation; * Entrepreneurship: Supportive activities for establishing professional and entrepreneurial knowledge * Services directly supporting SMEs in their path to more digitalisation: Founders pilot, funding pilot, patent center, EEN, norms center, innovation assesments Bayern Innovativ is part of the EDIHs "Digital Innovation for Bavarian Industry (DIBI)" and "DigiCare EDIH". We are tackling strategic transformation questions in the industries, together with industry players and regulators. This is achieved by moderating policy dialogues, or putting together EU projects such as MEMAP or EasyRES (energy) or projects funded by regional players, such as Smart3DRegio (Mobility). Bayern Innovativ was responsible for orchestrating the expert consultation process that led to the "Digitalplan", the digitalisation plan adopted by the Bavarian government.</t>
  </si>
  <si>
    <t>Dr. Christian Thiel</t>
  </si>
  <si>
    <t>Prinzregentenstr. 2, 80538 München, Germany</t>
  </si>
  <si>
    <t>https://www.bayern-innovativ.de</t>
  </si>
  <si>
    <t>agricultural biotechnology and food biotechnology, automotive, construction assembly, cultural and creative economy, electricity, energy, health care, manufacturing and processing, telecommunications, textiles, smart city, transport mobility</t>
  </si>
  <si>
    <t>ecosystem building, finance, innovation management, knowledge transfer, sme support, technology transfer</t>
  </si>
  <si>
    <t>artificial intelligence decision support, additive manufacturing, big data, blockchain and distributed ledger technology dlt, communication network, cyberphysical systems, cybersecurity, digital twins, internet of things, micro and nanoelectronics, optoelectronics, mobility, quantum technologies computingcommunication, semiconductors and nanotechnology, sensors vision processing systems, simulation engineering and modelling</t>
  </si>
  <si>
    <t>DIGI2Health</t>
  </si>
  <si>
    <t>DIGI2Health is a collaborative project established to address the need for systemic changes in healthcare both within and outside the Czech Republic. It also aims to provide technical and knowledge support for innovations in healthcare. Its core founding members are Palacký University Olomouc, Faculty Hospital Olomouc and Olomouc Region Innovation Center. Recently, the project was relocated to a separate facility because we firmly believe that a crucial aspect of innovation is in-person interaction and ideation. This new facility, Envelopa Hub, now serves as the home not only for project partners but also for innovative companies and student organizations. It provides a dedicated co-working space and experimental laboratories that align with the mission and vision of the project. The project follows the structure of digital innovation hubs defined by the European Commission and is listed in the DIH catalogue. In addition to the main partners of the Digi2Health innovation hub described in detail above, it is worth noting that the hub heavily relies on its other members and collaborating partners. These entities provide us with insights and access, including but not limited to private healthcare, such as Agel - a leading private healthcare provider in Central Europe (https://eu.agel.cz/index.html), and specialized organizations like the Alliance for Telemedicine (https://www.atdz.cz/poslani-a-cile), which brings together key stakeholders in the fields of telemedicine and the digitalization of health and social services. Laboratory of DIGI2Health can offer to SMEs experimental laboratory for devices used in healthcare. For example simulating patient movement in surgeries through technology Wi-Fi kit for indoor UWB signal monitoring, climate chamber for testing electronic devices or electroimpedancy tomograph with 16 chanells. More information you can find on website: www.digi2health.com.</t>
  </si>
  <si>
    <t>Jakub Havlín</t>
  </si>
  <si>
    <t>17. listopadu 8a, 77900 Olomouc, Czechia</t>
  </si>
  <si>
    <t>https://digi2health.com/</t>
  </si>
  <si>
    <t>agricultural biotechnology and food biotechnology, communityled local development, cultural and creative economy, education, health care, life sciences, personal services, smart city</t>
  </si>
  <si>
    <t>ecosystem building, finance, innovation management, knowledge transfer, prototyping, public sector innovation, regional development, sme support, technological innovation, technology transfer</t>
  </si>
  <si>
    <t>communication network, industrial biotechnology, micro and nanoelectronics, optoelectronics, robotics, sensors vision processing systems, simulation engineering and modelling</t>
  </si>
  <si>
    <t>GreenPulse 5.0</t>
  </si>
  <si>
    <t>GreenPulse 5.0, coordinated by Pomurje technology park (Slovenia), is dedicated to helping SMEs in manufacturing sector embrace digital innovation for a greener tomorrow. GreenPulse 5.0 serves as a catalyst for SMEs seeking cutting-edge technologies to enhance their manufacturing processes. Whether you're in electronic manufacturing, food &amp; beverage processing, pharmaceuticals, metal processing, plastics, machinery &amp; equipment, or building materials &amp; furniture, GreenPulse 5.0 is your gateway to unlocking the potential of your SME with sustainable and state-of-the-art digital technologies. We focus on key areas that drive efficiency, reduce costs, and elevate sustainability. Our hub understands the unique needs of SMEs, offering tailored solutions that fit the scale and requirements of small and medium-sized enterprises. GreenPulse 5.0 is not just a hub; it's your partner in navigating the future of manufacturing. Operating in Eastern Slovenia, GreenPulse 5.0 extends its reach through partnerships with over 200 (E)DIHs across Europe. Join a network that fosters collaboration and innovation beyond borders. Our organizational competencies and resources emanate from proficiency in five distinct technology domains: 1. Digitalization and Connectivity:Internet of Things, Edge Computing, Digital Twin Technology. 2. Automation and Robotics: Robotics and Automation, Collaborative Robots, Artificial Intelligence in Robotics. 3. Data Analytics and Artificial Intelligence: Big Data Analytics, Machine Learning, Predictive Maintenance, 4. Additive Manufacturing, and 3D Printing: 3D Printing/Additive Manufacturing; Rapid Prototyping; Digital Fabrication. 5. Cybersecurity and Digital Trust: Cybersecurity, Blockchain Technology, Security of IoT Devices. From renewable energy adoption to waste reduction technologies, GreenPulse 5.0 supports SMEs in implementing sustainable manufacturing processes. These green technologies play a crucial role in addressing environmental challenges, promoting sustainability, and helping the manufacturing industry reduce its ecological footprint. Combining these technologies with digital solutions can create a comprehensive approach to green and sustainable manufacturing. Clients can discover green innovations that not only boost efficiency but also align with eco-friendly practices: 1. Renewable Energy Sources: Solar Power, Wind Power, Hydropower. 2. Energy-Efficient Equipment and Processes: Energy-Efficient Motors and Drives, LED Lighting, Heat Recovery Systems. 3. Waste Reduction and Recycling Technologies: Waste-to-Energy Conversion, Closed-Loop Manufacturing Systems, Recycling Technologies. 4. Green Materials and Sustainable Design: Biodegradable Materials, Recycled Materials, Sustainable Packaging 5. Water Conservation Technologies: Water Recycling and Reuse Systems, Water-Efficient Manufacturing Processes, Rainwater Harvesting 6. Carbon Capture and Storage (CCS): Carbon Capture Technologies, Carbon Sequestration 7. Lean Manufacturing Practices: Just-in-Time Manufacturing, Total Quality Management (TQM), Continuous Improvement 8. Green Certification and Standards: ISO 14001 (Environmental Management System); ENERGY STAR Certification Leadership in Energy and Environmental Design (LEED) Why work with GreenPulse 5.0? • Access to the latest digital and green technologies tailored for SMEs. • Collaborative partnerships with leading ICT service providers • Regional focus on Pomurje and Eastern Slovenia. • Extensive network of over 200 partner DIHs across Europe. • Solutions designed to elevate efficiency, reduce costs, and enhance sustainability for SMEs. Join GreenPulse 5.0 on a journey towards a greener, technologically advanced future for your SME. Let's innovate, collaborate, and shape the future of manufacturing together. Pomurje technology Park with its DIH is a full partner in EDIH 4PDIH consortium, offering its services to SMEs, public administration and policy level. We are constantly collaborating with governmental bodies, either through joint organization of events, joint tender preparation,etc. We are also a member of Working group for the establishment of a national Research and development hub, coordinated by SPIRIT Slovenia.</t>
  </si>
  <si>
    <t>Pomurski Tehnološki Park D.O.O.</t>
  </si>
  <si>
    <t>Plese 9a, 9000 Murska sobota, Slovenia</t>
  </si>
  <si>
    <t>https://www.p-tech.si/</t>
  </si>
  <si>
    <t>agricultural biotechnology and food biotechnology, automotive, communityled local development, construction assembly, consumer products, electricity, energy, energy, fuels and petroleum engineering, environment, financial, food and beverages, manufacturing and processing, metal working and industrial production, paper and wood, polymers and plastics, smart city</t>
  </si>
  <si>
    <t>circular economy, ecosystem building, finance, innovation management, knowledge transfer, prototyping, public sector innovation, regional development, sme business development, sme support, technological innovation, technology transfer, vocational training</t>
  </si>
  <si>
    <t>additive manufacturing, artificial intelligence decision support, big data, blockchain and distributed ledger technology dlt, cybersecurity, digital twins, human computer interaction, internet of things, laserbased manufacturing and materials processing, robotics, sensors vision processing systems, simulation engineering and modelling</t>
  </si>
  <si>
    <t>Digital Innovation Hub PANNONIA</t>
  </si>
  <si>
    <t>DIH PANNONIA services will enable digitalisation and introduction of Industry 4.0 into economic entities with an emphasis on agriculture and food industry. DIH PANNONIA users are scientific research centres, public institutions and economic entities in the Slavonia, Baranja, and Srijem area.DIH PANNONIA’s task is the promotion of digital transformation and provision of services for the increase of the application of digital technologies in the real, public, and science research areas, as well as in all sectors, with an emphasis on food processing sector. DIH PANNONIA gives opportunity for easier propelling of strategic partnerships, better cross-border cooperation for various projects, start-up companies, micro-enterprises and SMEs, which deal with digital technologies. Simultaneously, it connects business entities from different industries with interest in using and implementation of newly created innovative solutions. DIH PANNONIA provides services of: - Promotion of digitalisation and technology and knowledge transfer, - Organisation of training and guidance for the digital skills development of economic entities, public sector, students and family farms, with the access to the professional knowledge of universities and other consortium partners, - Education and skill development provision, needed for a successful digital transformation, - Support to economic entities, public administration and other users in improving business models by using new technologies, - Networking and connecting providers and users in the digital transformation line at the national and international level, - Providing access to product testing and experimentation infrastructure, - Advisory services in accessing financial means and the use of financial mechanisms, - Preparation and implementation of development projects for users, -Support for the development of innovative ecosystems and networking opportunities.</t>
  </si>
  <si>
    <t>Vukovar-Srijem County Development Agency</t>
  </si>
  <si>
    <t>Antuna akšamovića 31, 32100 Vinkovci, Croatia</t>
  </si>
  <si>
    <t>https://www.ra-vsz.hr/eng-dih-pannonia/</t>
  </si>
  <si>
    <t>agricultural biotechnology and food biotechnology, automotive, communityled local development, education, public administration</t>
  </si>
  <si>
    <t>knowledge transfer, prototyping, regional development, sme support, technological innovation, technological innovation</t>
  </si>
  <si>
    <t>artificial intelligence decision support, cloud services, cyberphysical systems, digital twins, high performance computing, human computer interaction, internet services applications, quantum technologies computingcommunication, robotics, simulation engineering and modelling, software architectures</t>
  </si>
  <si>
    <t>Elektronikas un datorzinatnu instituts</t>
  </si>
  <si>
    <t>EDI in Riga, Latvia is a non-profit public research institute founded in 1960. Currently, EDI is specializing in the development of Smart Embedded Cooperative Systems (SECS) in the fields of health, mobility, production and space. As EDI is the highest-rated scientific institution in Latvia in the field of engineering and technologies, employing 90+ researchers, we have a unique perspective, expertise and capacity to contribute to solving global challenges. Our mission is to perceive the world and design a better future by creating new knowledge, developing innovative technologies and demonstrating their practical significance in real-life applications. Our goal is to become an internationally recognized research organization and apply our SECS expertise in mobility, industry 4.0, health, digital life and space domains while working in the following research directions: * Extremely precise event timing incl. space domain * Remote sensing and space data processing * Robotics and machine perception * Signal processing and embedded intelligence * Smart sensors and IoT Our objectives to achieve the goal are in line with the challenges and ambitions of the Republic of Latvia and EU development policies, (e.g., the creation of innovative solutions for the digitalization of industry to increase its competitiveness; enhancement of data-based digital life knowledge to ensure the well-being of society; development and transfer of innovative ICT technologies to provide growth of the knowledge-intensive economy, etc.). More here. As we saw that our competencies and developed technologies could be exploited by companies (especially manufacturing companies), in the year 2017, EDI applied and was accepted to be included in the Digital Innovation Hubs (DIH) – Smart Specialisation Platform with the name of “EDI DIH”. This was a defining moment for EDI because since then EDI has been (or still is) involved in 6 DIH initiatives – EDI DIH, two Horizon 2020 projects (TRINITY DIH and DIH-World), SCoDIHNet and 2 European DIHs. Currently, EDI DIH is part of the European DIH (EDIH). Mostly, it is thanks to our expertise and available state-of-the-art research and testing infrastructure (incl., various Testbeds, prototyping tools, high-performance computer servers, design and simulation tools, measurement equipment, etc. (see more here)). All this has allowed us to help dozens of companies to develop new or transform existing technologies, products and services as well as to increase productivity and quality, reduce costs, establish new markets, etc. EDI DIH provided services The list below specifies the typical service offering of the EDI DIH. The services that involve human work usually cost between 40 – 100 €/h (incl. overhead), + other direct costs such as materials, components, modules, travel expenses (if applicable), etc. depending on the specific case. On top of that, if applicable, there might be some costs related to the use of specific intellectual property rights (IPR), but this is specified during negotiation with a client, as costs for the use of specific IPRs have great variation starting from a few hundred euros up to tens or hundreds of thousands of euros. As for the access to infrastructure (state-of-the-art R&amp;D and testing equipment), the price depends on the book value of specific infrastructure items and individual calculations based on specifically designed procedures. The price typically varies from 100-1000 €/week (incl. space and utilities). List: Typical service offering of the EDI DIH TEST BEFORE INVEST * Strategic support to Research, Development and Innovation * Contract research * Technical support on scale-up * Testing and validation * Provision of infrastructure * Test EDI technologies before investing SUPPORT TO FIND INVESTMENT * Support to find appropriate funding programs * Strategic and business development * Support facilities and accelerator support INNOVATION ECOSYSTEM AND NETWORKING * Ecosystem scouting, engagement and management * Ecosystem coordination for projects SKILLS AND TRAINING * Training EDI DIH is part of European DIH, which targets the digitalization of the industry.</t>
  </si>
  <si>
    <t>Kaspars Ozols</t>
  </si>
  <si>
    <t>14 dzerbenes street, Riga, LV-1006, Latvia</t>
  </si>
  <si>
    <t>https://www.edi.lv/en/digital-innovation-hub/</t>
  </si>
  <si>
    <t>agricultural biotechnology and food biotechnology, automotive, construction assembly, defence, energy, environment, health care, manufacturing and processing, metal working and industrial production, security, smart city, space, transport mobility</t>
  </si>
  <si>
    <t>ecosystem building, field trial, innovation management, knowledge transfer, prototyping, smart specialisation strategies, sme support, technological innovation, technology transfer, vocational training</t>
  </si>
  <si>
    <t>additive manufacturing, artificial intelligence decision support, big data, blockchain and distributed ledger technology dlt, communication network, cyberphysical systems, cybersecurity, digital twins, high performance computing, human computer interaction, internet of things, micro and nanoelectronics, optoelectronics, mobility, virtual reality, quantum technologies computingcommunication, robotics, semiconductors and nanotechnology, sensors vision processing systems, simulation engineering and modelling</t>
  </si>
  <si>
    <t>European Open Science Cloud Digital Innovation Hub</t>
  </si>
  <si>
    <t>The EOSC DIH is an international and multi-partner cooperation that supports companies in easily accessing the digital technologies and services offered by the EOSC. It combines 4 main pillars to help companies become more competitive: 1) Pilot design and co-design: where pilots services or products are designed and/or tested; 2) Technical access: HTC, HPC, cloud computing, machine learning, research data, data management services, and several tools and applications; 3) Training and support: technical consultancy, business coaching, funding search; 4) Visibility: inclusion of company solutions in the EOSC Marketplace and exploiting the EOSC networking and ecosystem opportunities. The European Open Science Cloud is envisioned by the European Commission as a supporting landscape to foster open science and open innovation: a network of organisations and infrastructures from various countries and communities that supports the open creation and dissemination of knowledge and scientific data. The EOSC DIH contributes to the impact of the EOSC on the private sector facilitating access to advanced resources with special interest for innovative companies such as startups and spin-offs. The EOSC DIH was created and evolved under the EOSC umbrella (first under the EOSC hub project, later with EOSC Future and EOSC Beyond projects ) being the main industry engagement mechanism for the consumption of ESOC services by the private sector.</t>
  </si>
  <si>
    <t>Elisa Cauhe</t>
  </si>
  <si>
    <t>Science park 140, 1098 XG Amsterdam, Netherlands</t>
  </si>
  <si>
    <t>https://eosc-dih.eu/</t>
  </si>
  <si>
    <t>agricultural biotechnology and food biotechnology, cultural and creative economy, energy, environment, health care, life sciences, manufacturing and processing, public administration, real estate, security, smart city, space, transport mobility</t>
  </si>
  <si>
    <t>ecosystem building, innovation management, knowledge transfer, prototyping, sme business development, sme support, technological innovation</t>
  </si>
  <si>
    <t>artificial intelligence decision support, big data, bi tools, cloud services, cybersecurity, digital twins, high performance computing, internet of things, internet services applications, mobility, simulation engineering and modelling, software architectures</t>
  </si>
  <si>
    <t>Union Farmers Parliament</t>
  </si>
  <si>
    <t>Union “Farmers Parliament” Digital Innovation Hub (ZSA DIH) helps farmers, agronomists, companies, research and development institutions and other organizations in Latvia to create added value by using digital technologies, better business and production processes in agriculture sector. THE MAIN ZSA DIH ACTIVITIES ARE FOCUSED ON THE END USER NEEDS. THE DIH PROVIDES A VARIETY OF THE NON-PROFIT SERVICES: 1) Technology services including collaborative R&amp;D, technical support on upscaling, testing and validation, mapping platform and services, experiments, access to DIH network, networking with technology providers and scientists; 2) Business services including access to finance and funding, skills and education, brokerage, access to competence centers; 3) Ecosystem services including a community building (e.g. Living labs), visioning &amp; strategy development, mentoring. The main strategic objectives are to initiate and develop cooperation between the public sector, business and science in the field of digital innovation, using the most modern means of communication and technology. ZSA DIH provides non-profit services for digitization of agricultural enterprises in Latvia, and it solves digital business challenges for ecosystem participants In collaboration with COPA COCEGA (EU level), Latvia - Agriculture Ministry</t>
  </si>
  <si>
    <t>Inga Berzina</t>
  </si>
  <si>
    <t>Republikas laukums 2, riga, Riga, LV-1010, Latvia</t>
  </si>
  <si>
    <t>https://smartagro.lv/</t>
  </si>
  <si>
    <t>agricultural biotechnology and food biotechnology</t>
  </si>
  <si>
    <t>circular economy, ecosystem building, field trial, innovation management, knowledge transfer, regional development, sme support</t>
  </si>
  <si>
    <t>artificial intelligence decision support, communication network, internet services applications, locationbased applications, sensors vision processing systems</t>
  </si>
  <si>
    <t>FIWARE Innova iHub</t>
  </si>
  <si>
    <t>FIWARE Innova iHub is a non-profit association aimed at promoting technological innovation in Italy, through training, consultancy and co-design of technological solutions. Our Association has the challenge of contributing to facilitating the empowerment of cutting-edge technologies, successful entrepreneurial strategies, new business models and the sustainable development of solutions and infrastructures in urban and rural areas to transform them into “Smart Lands” to create well-being for a better quality of life. The first Digital Innovation Hub of the FIWARE network active in Italy. We support the digital transformation process by facilitating access to the most innovative technologies and accompanying companies in discovering opportunities in the Smart City and Smart Agri-Food domanis.</t>
  </si>
  <si>
    <t>Irene Provvidenza</t>
  </si>
  <si>
    <t>Via settevalli 320, 06129 Perugia PG, Italy</t>
  </si>
  <si>
    <t>https://fiwareinnova.org/</t>
  </si>
  <si>
    <t>agricultural biotechnology and food biotechnology, smart city</t>
  </si>
  <si>
    <t>ecosystem building, knowledge transfer, prototyping, public sector innovation, regional development, sme business development, technological innovation</t>
  </si>
  <si>
    <t>artificial intelligence decision support, big data, digital twins, software architectures</t>
  </si>
  <si>
    <t>Green Digital Innovation HUB</t>
  </si>
  <si>
    <t>Green eDIH aims to ensure the support and the easy transition to new technologies and digital innovation, for small and large companies in any industry. The mission of Green eDIH is to create a bridge between the current digitalization needs of the regional industry and the eco-friendly solutions. The values that mark the way in which Green eDIH operates are: Green Technology is not a goal, it is a Standard that must be implemented. INDUSTRY-LEADING INNOVATION is not an Objective, it is the intrinsic essence that was the basis of the entire digital construction. We do not promote innovation, we create it at a high-standard level. TRANSPARENCY in COLLABORATION is the key to any association, but the essence is the continuous and constant flow of informational and decision-making visibility. That is, we will replace the classic Reporting. In us, we TRUST– each piece of the Digital Green eDIH Puzzle is a unique and equivalent valuable entity that blends organically and fluidly into the digital ecosystem. Green eDIH acts as a catalyst that brings together academy, private companies, central and local authorities and investors to make green digital transformation a reality. Green Digital Innovation HUB is interested in participating in the development of regional, national or European political initiatives to digitize the industry. As experts, we were involved in the development of the RIS3 strategy at the national level, regarding the smart specialization. Green Digital Innovation HUB is a member of the Digital Working Group of the Harnessing Talent Platform (HTP), an initiative of the European Commission of the Talent Stimulation Mechanism, which will support affected EU regions in training, retaining and attracting the skills and competences needed to overcome the impact of the accelerated decline of the working population. At the same time, we are also members of the DIH2, Bowi, Tetramax, and FundingBox networks, and we actively participate in events organized at the European level in the field of technology for the development of standards and policies for technologies such as blockchain, AI, DML or any other technology.</t>
  </si>
  <si>
    <t>Ruxandra MIUTI</t>
  </si>
  <si>
    <t>3rd district, 13-15 matei basarab street, 4th floor, 030674 Bucharest, Romania</t>
  </si>
  <si>
    <t>https://dih.green/</t>
  </si>
  <si>
    <t>agricultural biotechnology and food biotechnology, automotive, education, energy, financial, food and beverages, health care, life sciences, manufacturing and processing, personal services, telecommunications, security, smart city, space, transport mobility</t>
  </si>
  <si>
    <t>circular economy, ecosystem building, field trial, innovation management, knowledge transfer, regional development, smart specialisation strategies, sme business development, sme support, technological innovation, technology transfer</t>
  </si>
  <si>
    <t>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logistics, micro and nanoelectronics, optoelectronics, mobility, new technologies for audiovisual sector media, virtual reality, quantum technologies computingcommunication, robotics, semiconductors and nanotechnology, sensors vision processing systems, simulation engineering and modelling, software architectures</t>
  </si>
  <si>
    <t>Innoskart Vállalkozásfejlesztési Nonprofit Kft</t>
  </si>
  <si>
    <t>Formerly known as an ICT cluster, Innoskart defines itself as a Digital Cluster since 2019, and since 2021 we have also been operating as a Digital Innovation Center (DIH). Our mission is to accelerate the digital transformation among SMEs in the region by promoting and supporting the dialogue between the service provider and the user companies, as well as knowledge and technology transfer. As a Digital Innovation Center, Innoskart assumes the role of "interface" between different types of actors in the economic ecosystem, but at the same time equally affected by digitalization. Innoskart DIH Experts Innoskart's technological knowledge base is provided by experts with diverse digital experience from our member and partner companies. We provide coach and mentor services for industrial SMEs in their digital skill and competence development. Our team of experts, in cooperation with Hungarian digital innovation supporting organizations, universities, knowledge centers and other clusters, is able to demonstrate solutions that fit European trends and adapt them according to incoming demands. The goal is to introduce and integrate the most current EU strategic directions and technological solutions, the most dynamically developing business trends into the processes of domestic manufacturing SMEs. In addition to the fact that business and technology mentoring provides companies with practical and visual information about the potential of various digital solutions, our experts also monitor all stages of development of digital transformation projects. We have been involved in several European projects including Interreg and Horizon mainly as a partner with special knowedge on industry digitalisation. Also we work closely with Hungarian Ministry of Public Administration and Regional Development, in each case where a relevant new grant scheme is to be launched, they ask us for consulting. We are also a founding member of Hungarian Cluster Alliance and being so we are invited into the Monitoring Committee for Elaboration of Competitive Programs.</t>
  </si>
  <si>
    <t>Zsolt Keresztúri</t>
  </si>
  <si>
    <t>Székesfehérvár, Székesfehérvár, kertalja u., 8000, Hungary</t>
  </si>
  <si>
    <t>https://innoskart.digital/</t>
  </si>
  <si>
    <t>agricultural biotechnology and food biotechnology, automotive, construction assembly, cultural and creative economy, education, food and beverages, health care, life sciences, manufacturing and processing, metal working and industrial production, public administration, telecommunications, smart city, transport mobility</t>
  </si>
  <si>
    <t>ecosystem building, innovation management, knowledge transfer, prototyping, regional development, smart specialisation strategies, sme business development, sme support, technological innovation, technology transfer</t>
  </si>
  <si>
    <t>additive manufacturing, artificial intelligence decision support, big data, bi tools, blockchain and distributed ledger technology dlt,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micro and nanoelectronics, optoelectronics, new technologies for audiovisual sector media, virtual reality, organic and large area electronics, quantum technologies computingcommunication, robotics, semiconductors and nanotechnology, sensors vision processing systems, simulation engineering and modelling, software architectures</t>
  </si>
  <si>
    <t>Stichting Novel-T</t>
  </si>
  <si>
    <t>Novel-T is building an environment in whichentrepreneursseize new opportunities to stay or become frontrunner in their league. By connecting and activating talent, knowledge, capital, research &amp; testfacilities, opportunities will lead to new innovative business. We support companies in their innovation process and startups in realising their goals in cooperation with the University of Twente, University of Applied Science Saxion and each other. We offer startups and innovative entrepreneurs access to a dynamic ecosystem.We screen research and connect knowledge to business. OurNovel-T’s innovation brokers can help local SME's to take the next step.Novel-T’s innovation brokers support entrepreneurs in the manufacturing sector with their innovation process. Think of e.g. formulation the right question or business case, creating matches with valuable connections such as fellow entrepreneurs, the UT and Saxion and/or the government and searching for solutions to support your innovation process and overcome hurdles. Novel-T started the Cybersecurity Center for the Manufactering Industry and ispartner in Boost, theSmart Industry-network of East Netherlands. Novel-T is a not-for-profit cooperation of the knowledge-institutes (University of Twente- Saxion University of Applied Sciences) and regional government(province of Overijssel, region of Twente and City of Enschede). Their aim is to joinly stimulate the regional economy by supporting new and growing innovative entrepreneurs. Novel-T started the Cybersecurity Center for the Manufactering Industry and is partner in Boost Robotics EastNL, theSmart Industry-network of East Netherlands.</t>
  </si>
  <si>
    <t>Wevers, Jeroen</t>
  </si>
  <si>
    <t>Hengelosestraat 500, 7521 AN Enschede, Netherlands</t>
  </si>
  <si>
    <t>https://novelt.com/</t>
  </si>
  <si>
    <t>agricultural biotechnology and food biotechnology, automotive, communityled local development, construction assembly, defence, education, energy, financial, health care, life sciences, manufacturing and processing, metal working and industrial production, textiles, polymers and plastics, legal aspects, regulation</t>
  </si>
  <si>
    <t>circular economy, ecosystem building, field trial, finance, innovation management, knowledge transfer, public sector innovation, regional development, smart specialisation strategies, sme business development, sme support, technological innovation, technology transfer, vocational training</t>
  </si>
  <si>
    <t>additive manufacturing, artificial intelligence decision support, big data, blockchain and distributed ledger technology dlt, chemical engineering plants, products, communication network, cybersecurity, digital twins, human computer interaction, industrial biotechnology, internet of things, laserbased manufacturing and materials processing, micro and nanoelectronics, optoelectronics, virtual reality, photonics, quantum technologies computingcommunication, robotics, semiconductors and nanotechnology, sensors vision processing systems, simulation engineering and modelling, software architectures</t>
  </si>
  <si>
    <t>Plan4all z.s.</t>
  </si>
  <si>
    <t>Plan4all, as a Digital Innovation Hub, specializes in integrating open data and implementing advanced technologies for sustainable development planning. Their activities include managing and making diverse datasets accessible, particularly in spatial planning, agriculture, and environmental management. They leverage Geographic Information Systems (GIS), remote sensing, and big data analytics for spatial analysis. Plan4all fosters collaboration by connecting public authorities, private companies, academia, and NGOs, creating a network for knowledge exchange. They emphasize capacity building through training, workshops, and webinars, and engage in research and development, particularly in applying spatial data for planning. Additionally, Plan4all supports policy-making with data-driven insights and advocates for the use of open data and open-source tools, contributing significantly to the open data community. Plan4all's membership in various prestigious organizations highlights its commitment to promoting open data and digital innovation in various sectors. As a member of the Global Open Data for Agriculture and Nutrition (GODAN), Plan4all supports the global effort to make agricultural and nutritionally relevant data available, accessible, and usable for unrestricted use worldwide. Their involvement with the Open Geospatial Consortium (OGC) aligns with their focus on geospatial data and standards, contributing to the development of open standards for geospatial and location-based services. Being a part of the Big Data Value Association (BDVA) allows Plan4all to engage with the broader European Big Data community, focusing on driving innovation and excellence in data-driven technologies. Their membership in the Research Data Alliance (RDA) reflects their commitment to improving data sharing and interoperability, which is crucial for research and innovation. Furthermore, as one of the Participating Organizations of the Group on Earth Observation (GEO), Plan4all actively contributes to global initiatives that leverage Earth observation data for the benefit of society, particularly in areas like environmental monitoring and sustainable development. Through these memberships, Plan4all not only contributes its expertise but also gains valuable insights and collaborations, reinforcing its role as a key player in the digital innovation landscape.</t>
  </si>
  <si>
    <t>Tomas Mildorf</t>
  </si>
  <si>
    <t>K rybnicku 557, 33012 Horní bříza, Czechia</t>
  </si>
  <si>
    <t>https://hub.plan4all.eu/</t>
  </si>
  <si>
    <t>agricultural biotechnology and food biotechnology, education, energy, fuels and petroleum engineering, environment, life sciences, travel and tourism, smart city, space, transport mobility</t>
  </si>
  <si>
    <t>ecosystem building, field trial, knowledge transfer, prototyping, public sector innovation, regional development, sme support, technological innovation</t>
  </si>
  <si>
    <t>big data, blockchain and distributed ledger technology dlt, cloud services, digital twins, internet of things, internet services applications, locationbased applications, mobility, sensors vision processing systems, simulation engineering and modelling</t>
  </si>
  <si>
    <t>Digital Innovation Hub in Artificial Intelligence and Robotics for Sustainable Development Goals</t>
  </si>
  <si>
    <t>AIR4S DIH, located in the Region of Madrid, aims at facilitating the access to a multidisciplinary service catalogue able to boost the digital transformation of strategic regional industries and the modernisation of the public administration based on the uptake of AI, Data-driven &amp; Robotics technologies. The project aims at upgrading the activity of AIR4S by implementing its support model specifically designed for facilitating the delivery of AIR4S support services. At the same time, the project looks for increasing the engagement of new regional stakeholders and resources to AIR4S and scaling its support at EU level by developing crossregional collaborations within the Network of European Digital Innovation Hubs, in order to export/import services to/from other EU regions. AIR4S project is strongly encompassed by two main principles: 1.Defense of a sustainable digitalisation of the industry contributing to the achievement of the Sustainable Development Goals (SDG), by seeking a compromise between the social, legal, and ethical codes around AI &amp; Robotics and, the sustainable growth of businesses, in a way that their investment is returned into societal benefits. 2.Contribution to the development of the Data Economy underpinned by the EU Strategy for Data and the DIGITAL Programme. AIR4S has been recognized with the BDVA/DAIRO iSpace Gold Label as the leading data space in the region, which facilitates the access to data testing facilities and connections to EU data spaces and data ecosystems. The project workplan relies on the delivery of 4 types of services: 1) access to AI, Data &amp; Robotics infraestructures and technical expertise for developing test before invest pilots; 2) training and mentoring activities for the improvement of technical and business skills around AI &amp; Robotics; 3) assessment on public and private funding opportunities and, 4) support actions for building relationships within the local and EU innovation ecosystems around the data economy.</t>
  </si>
  <si>
    <t>Juan Manuel Muñoz Guijosa</t>
  </si>
  <si>
    <t>Calle ramiro de maeztu 7 edificio rectorado, 28040 Madrid Madrid, Spain</t>
  </si>
  <si>
    <t>https://www.air4s.eu/</t>
  </si>
  <si>
    <t>agricultural biotechnology and food biotechnology, aeronautics, automotive, education, energy, metal working and industrial production, health care, life sciences, manufacturing and processing, maritime, mining and extraction, public administration, paper and wood, personal services, polymers and plastics, nmp nonmetallic materials basic processes, retail, wholesale or distribution, smart city, space, textiles, transport mobility, travel and tourism</t>
  </si>
  <si>
    <t>artificial intelligence decision support, big data, cloud services, communication network, cyberphysical systems, chemical engineering plants, products, cybersecurity, digital twins,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robotics, semiconductors and nanotechnology, sensors vision processing systems, simulation engineering and modelling, software architectures, virtual reality</t>
  </si>
  <si>
    <t>Smart Manufacturing Innovation Lean Excellence centre - Digital Innovation Hub</t>
  </si>
  <si>
    <t>SMILE-DIH is a non-profit organization founded in Parma in 2018 as a non-profit association (legally recognized in 2022) which carries out networking, matchmaking, intermediation and dissemination activities in favor of all types of economic entities, in particular SMEs, and public Local administrations, with the aim of helping them become more competitive by improving the innovation of products / production processes / services, as well as the organization through new digital technologies. In particular, SMILE-DIH promotes the transformation of digital production and operational processes towards the Industry 4.0 approach and the sustainability of the value chain in general. The main activities are: - Awareness Dissemination (Meeting, Workshop, etc.) - Supporting activities to industrial companies for Industry 4.0-based project implementation - Support access to tax breaks provided by Piano Industria 4.0 / Transizione 4.0 - Supporting activities for assessing digital readiness - Supporting activities to facilitate manufacturing companies access to innovation regional ecosystem - Design and delivery of training initiatives - Coordination activities for implementing I4.0-based factories The vision of SMILE-DIH is the achievement of waste free «Lean and Smart factories», where the digital and the physical words are completely connected, data are always available and performance deviations can be monitored in real time and addressed immediately. In this cyber-physical system, people do not waste their time, but can devote themselves, completely, to high-value stimulating activities, delegating calculations and routine tasks to robots and computers. Indeed, in case of problems, the system promptly informs human experts and suggests possible solutions, which can be simulated, tested and finally assessed. The mission of SMILE-DIH is threefold: - Make it understood the importance of ICT technologies as the key element to carry on, conjointly, product and process innovation; - To support SMEs in their pathway toward an Industry 4.0 status, through the preliminary analysis of internal processes and the selection, implementation, integration and customization of emerging and/or innovating ICT technologies; - To develop a fully integrated «Digitally Enabled Lean Toolkit» for operational excellence and performance optimization, especially in MTO, ATO and ETO SMEs. SMILE-DIH is founded by Unione Parmense degli Industriali and University of Parma, granted by the EU (No EPCC2017 / LGH / MS) through the I4MS program. We are also part of the Italian network of Confindustria DIHs to support technological transfer between public and private research centers (Universities, Competence Centers, ecc.), part of the innovation ecosystem of the Emilia-Romagna Region and, since december 2022, partner in DIHCUBE (Digital Italian Hub for Construction and Built Environment) project, the EDIH co-financed by the European Commission and the Italian government, created to bring innovation to the world of construction and which aims to increase the levels of digitalisation of the sector through services aimed at the entire supply chain.</t>
  </si>
  <si>
    <t>Cucinotta Annamaria</t>
  </si>
  <si>
    <t>Strada al ponte caprazucca 6/a, 43121 Parma PR, Italy</t>
  </si>
  <si>
    <t>https://www.smile-dih.eu/</t>
  </si>
  <si>
    <t>agricultural biotechnology and food biotechnology, automotive, construction assembly, consumer products, cultural and creative economy,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public administration, real estate, retail, wholesale or distribution, telecommunications, textiles, transport sector, transport sector, travel and tourism, paper and wood, polymers and plastics, security, smart city, space, tobacco, transport mobility</t>
  </si>
  <si>
    <t>circular economy, ecosystem building, field trial, finance, innovation management, knowledge transfer, prototyping, public sector innovation, regional development, smart specialisation strategies, sme support, technological innovation, technology transfer</t>
  </si>
  <si>
    <t>additive manufacturing, artificial intelligence decision support, big data, bi tools,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virtual reality, organic and large area electronics, photonics, quantum technologies computingcommunication, robotics, semiconductors and nanotechnology, sensors vision processing systems, simulation engineering and modelling, software architectures</t>
  </si>
  <si>
    <t>Fondazione Speedhub</t>
  </si>
  <si>
    <t>Speedhub is a no-profit foundation established in 2017 by Confindustria Verona, the association representing manufacturing and service companies in the territory of Verona counting a total of more than 2.000 companies (96% SME, most represented sectors are logistics, agri-food, and health) and more than 70.000 employees. Our goal is to support companies to become more competitive by improving their processes as well as products and services by means of digital technologies. Our service portfolio consists of several activities starting from awareness to tailor made consultancies to provide technical support for the development of projects. We want to spread innovation culture through our distinctive competences and thanks to a network of experts who facilitate access to high expertise and new technologies starting from the specific sector, the technological readiness and the business model. We believe in our mission: to be a reference to companies for the development of products, business models and innovation processes using digital technologies. Speedhub offers to SMEs advice and support in identifying and accessing European network, funds and resources, and subsidized financial instruments for the development of digital transformation. Some examples are the Regional Innovation Networks (RIR initiative) or the EU networks to which we belong, such as DIH4CPS, Change2Twin, DIH^2(squared) and DIH World Open Calls. Speedhub is part of several networks with different stakeholders, such as Confindustria Italian DIH, iNEST (InterconnectedNord-EstInnovation), and the EDIH regional network (Neural). We also collaborate with institutions, this allows us to rely on their credibility and reputation. Another player in Speedhub’s network are universities. They are involved in our events to present research on specific topics. We are a key partner for universities, with regards to events promotion and in research projects involvement. We support schools by helping them establish partnerships with companies. Keywords: Logistics,</t>
  </si>
  <si>
    <t>Francesca Milani</t>
  </si>
  <si>
    <t>Piazza cittadella 12, 37122 Verona VR, Italy</t>
  </si>
  <si>
    <t>https://www.fondazionespeedhub.it/en/?Itemid=0</t>
  </si>
  <si>
    <t>agricultural biotechnology and food biotechnology, automotive, construction assembly, environment, food and beverages, health care, life sciences, manufacturing and processing, metal working and industrial production, retail, wholesale or distribution, textiles, paper and wood, polymers and plastics, transport mobility, legal aspects</t>
  </si>
  <si>
    <t>circular economy, ecosystem building, finance, innovation management, prototyping, smart specialisation strategies, sme business development, sme support, technological innovation</t>
  </si>
  <si>
    <t>additive manufacturing, artificial intelligence decision support, big data, blockchain and distributed ledger technology dlt, cyberphysical systems, cybersecurity, digital twins, industrial biotechnology, internet of things, locationbased applications, logistics, mobility, virtual reality, robotics, sensors vision processing systems, simulation engineering and modelling</t>
  </si>
  <si>
    <t>Sunrise Valley Digital Innovation Hub</t>
  </si>
  <si>
    <t>Sunrise Valley Digital Innovation Hub (SV DIH) is a non-profit association that aims to become a leading industry digitalization service center in Lithuania. With a mission to bridge ICT sector related R&amp;D, big industries, and SMEs in traditional sectors, SV DIH seeks to reinforce the biggest integrated science, studies, and business campus in Lithuania, Sunrise Valley. SV DIH focuses on ICT, physical sciences &amp; mechatronics, civil engineering, laser &amp; nanotechnologies, life sciences and biotechnology, energy, and clean technologies. These sectors comply with R&amp;D priorities on the national level as laid out in Smart Specialisation Strategy (S3), the implementation of which is supported by a number of EU Structural Funds measures. SV DIH activities are aligned with these priority sectors of Lithuanian RIS3 strategy: • ICT; • Transport and logistics; • Health technologies and biotechnologies; • New production processes, materials, and technologies; • Energy and sustainable environment. SV DIH provides a one-stop service as well as access to competencies and infrastructure available at Sunrise Valley campus. The coordinating organization, non-profit institution Sunrise Valley Science and Technology Park, is also active in developing and implementing national and EU funded projects, to support the activities of SV DIH. SV DIH is a lead-partner and coordinator of the Interreg BSR project “Industry 4: transforming innovation ecosystem through a better capacity of pubic enablers” (InnoCAPE). The project aims to build DIHs’ digitalization competences in the Baltic Sea Region, to raise awareness about digitalization and to build a pan-Baltic-Scandinavian network of DIHs. SV DIH participated in the Horizon2020 funded project as “Smart factories in the new EU member states.” Currently, SV DIH is participating in EU funded project “Smart InnoTech” (SV DIH is providing technological and digital audits as well as recommendations for industrial companies); “InoSpurtas” (SV DIH performs technology transfer and provide other innovation support services). Since 2019 SV DIH is implementing EU funded project dedicated to digital sills creation in traditional industry sector “Digitalization competences development for manpower working in the Lithuanian manufacturing industry.” Members of SV DIH are active participants of different EU programs: Horizon2020, Interreg Europe, Interreg BSR and other(e.g.:https://www.vgtu.lt/research-and-innovation/-projects/65786?lang=2). SV DIH is located in Sunrise Valley (campus), which is the biggest knowledge triangle (integrated science, studies, and business center) and talent pool in Baltic countries. Sunrise Valley consists of 2 major universities of Lithuania, five open-access R&amp;D centers, Science and Technology Park, business incubator, more than 50 knowledge-driven companies, over 20k students, and 5k scientists &amp; researchers. SV DIH is coordinated by a non-profit organization - Sunrise Valley, Science and Technology Park - that was established back in 2003 with an in-depth orientation for entrepreneurship development, science and business cooperation, creation of knowledge-driven startups and spinoffs, providing innovation infrastructure and consulting services. SV DIH and its team members are active participators in variosu regional, national and European policy initiatives which includes:• Dr. Laima Balčiūnė, the head of SV DIH, is a member of Innovation and Digital Policy advisory Board INNODIG and a member of Innovation Support Fund Supervisory Committee, both established by the Ministry of Economy and Innovation of the Republic of Lithuania; • Taking part in working group of Industry 4.0 platform (Ministry of Economy and Innovation); • Providing feedback on designing financial instruments to support digitalization; • Head of SV DIH is a board member of European Institute of Innovation and Technology (EIT), which covers EIT Digital, EIT Manufacturing and other Knowledge and Innovation Communities (KICs); • Participating in the consultations regarding main tasks of the Government program and Plan for Lithuanian Economy resilience; • Participating in the Creation of Vilnius strategy 2030 (group for economy) • SV DIH is also a member of international AIOTI network which actively supports digitalisation activities at EU level.</t>
  </si>
  <si>
    <t>Laima Balčiūnė</t>
  </si>
  <si>
    <t>Saulėtekio av. 15, 10224 Vilnius, Lithuania</t>
  </si>
  <si>
    <t>https://sunrisevalleydih.lt/</t>
  </si>
  <si>
    <t>agricultural biotechnology and food biotechnology, energy, environment, health care, manufacturing and processing, nmp nonmetallic materials basic processes, telecommunications, transport sector, transport mobility</t>
  </si>
  <si>
    <t>ecosystem building, innovation management, public sector innovation, regional development, sme support, technology transfer, vocational training</t>
  </si>
  <si>
    <t>additive manufacturing, artificial intelligence decision support, bi tools, cybersecurity, digital twins, high performance computing, industrial biotechnology, internet of things, laserbased manufacturing and materials processing, robotics, semiconductors and nanotechnology</t>
  </si>
  <si>
    <t>University of Valencia Science Park Foundation</t>
  </si>
  <si>
    <t>The University of Valencia Science Park DIH aims to create the best conditions to strive for the long-term business success of companies and organisations from the Valencian region by putting innovation and digital opportunities to good use. To this end, the University of Valencia Science Park DIH places at companies and organisations’ disposal a set of services targeted to digitise their products, services and processes, as well as specially equipped premises for them to set up and perform their activity, consolidation and growth. The University of Valencia Science ParkDIH services come in five areas: 1.- Creating the ecosystem: information, training, networking and financing services, providing entrepreneurs with infrastructures, and support to identify and establish synergies among knowledge providers, companies and organisations, and to also back the Valencian innovative ecosystem 2.- Digitising business processes: Consultancy and implementing software solutions for strategic business management (Business Intelligence, Balanced Scorecard), day-to-day management (ERP), document management and commercial management (CRM, eCommerce) 3.- Automating production processes: Analysing the level of digitising and automation; accompanying the whole process; providing equipment for automation, sensors and other mechanisms to control processes. 4.- Applying satellite data: Employing satellite data and other sources, with applications in areas like agriculture, forestry development and environmental conservation, and for fighting against climate change 5.- Managing digital health: Application of Big Data, Artificial Intelligence, modelling, digital simulation and other technological tools in areas like functional nutrition, precise medical diagnosis and efficient health In order to offer this wide range of services, the University of Valencia Science Park DIH is backed by the University of Valencia Science Park’s development and infrastructure, and by organisation and team of the University of Valencia Science Park Foundation (FPCUV), which is in charge of managing the Science Park’s business area. The University of Valencia Science Park (PCUV) is an initiative that links university research and its scientific potential with the production system by encouraging innovation processes, and by generating and consolidating science/technology-based companies in the Valencian region. The PCUV provides spaces and services to companies that derive from university research (spin-offs) and to external scientific technology-based companies that wish to enter a research, technological development and innovation setting. Its scientific area is made up of seven research institutes, two singular centres and major research infrastructure, as well as a business area covering a surface area of 26,700 m2, which represents 40% of the Science Park’s built area. It is divided into three building blocks (Building 1SC, Building BIOTEC and Building CUE) with offices and different sized labs that provide various services, one business incubator, and three coworking spaces (Business Incubators), one of which is located on the Tarongers campus. The business area currently hosts almost 100 companies, including different spin-offs. In this space they find a suitable ecosystem in which to generate and develop ideas and innovative projects. The most important sectors are Biotechnology and Information and Communication Technologies (ITC), and Energy, Nanotechnology and Advanced Services are also present. The University of Valencia Science Park Foundation (FPCUV) works as a not-for-profit organisation that facilitates innovation for technology-based companies. This institution is in charge of managing the business area by providing services to those hosted there. It was created in 2009, and its founding sponsors were Fundación Bancaja, Banco Santander, the Valencian Chamber of Commerce and the Valencian Business Confederation, as well as the University of Valencia. Some FPCUV objectives are to: -Promote technological development, knowledge transfer and industrial innovation. -Encourage research into matters of social importance locally, nationwide and internationally. -Establish cooperation between University of Valencia research groups and companies. -Create new innovative companies by facilitating alliances with strategic partners. -Encourage the transfer and diffusion of university research results. -Contribute to improve companies’ competitiveness and the Valencian Community’s development. The FPCUV is a member of rePCV (Network of Valencian Science Parks), APTE (the Spanish National Association of Science and Technology Parks), RedEmprendia (the Ibero-American University Network of Business Incubators) and IASP (the International Association of Science Parks). It also has relations with different international parks. The PCUV is linked with different regional and national initiatives, such as: • Industria Conectada 4.0, Spanish Ministry of Industry, Commerce and Tourism. • Red.es, a public organisation appointed to the Spanish Ministry of Economic Affairs and Digital Transformation. • INCYDE Foundation, the chamber Institute for the Creation and Development of Companies • Research and Innovation Smart Specialisation Strategy of the Comunitat Valenciana (RIS3-CV) • Regional Valencian Ministry of Innovation, Universities, Science and Digital Society. • The Valencian Innovation Agency (AVI), a public organisation accountable to the Regional Valencian Ministry of Innovation, Universities, Science and Digital Society of the Generalitat Valenciana. • The Valencian Institute of Business Competitiveness (IVACE), a public organisation accountable to the Regional Valencian Ministry of Sustainable Economy, Production Sectors, Commerce and Work of the Generalitat Valenciana. Keywords: Information Technology, Electronics, Industrial</t>
  </si>
  <si>
    <t>Mariano Serra Bondia</t>
  </si>
  <si>
    <t>Calle catedrático agustín escardino, 9, 46980 Valencia Valencia, Spain</t>
  </si>
  <si>
    <t>https://www.pcuv.es/en/dih</t>
  </si>
  <si>
    <t>agricultural biotechnology and food biotechnology, energy, environment, health care, polymers and plastics, legal aspects, regulation</t>
  </si>
  <si>
    <t>artificial intelligence decision support, big data, chemical engineering plants, products, cybersecurity, industrial biotechnology, internet services applications, laserbased manufacturing and materials processing, locationbased applications, micro and nanoelectronics, optoelectronics, virtual reality, robotics, semiconductors and nanotechnology, sensors vision processing systems, simulation engineering and modelling, software architectures</t>
  </si>
  <si>
    <t>Develop, innovate and provide Next-Gen-BIoTech DIH`s services in the South-Center region in Bulgaria to accelerate the best use of digital technologies for local SMEs, Mid-cap, and public sector</t>
  </si>
  <si>
    <t>Next-Gen-BIoTechEDIH project intends to coordinate and drive digital and green transformation in the biotechnologies and bio-based industries in Bulgaria South-Center region, both for SMEs, Mid-caps, clusters, and other innovative partnerships in the local business environment, as well as for other interested public and private entities. To that end, the Hub aims to provide for packages of comprehensive digitalisation services that will be tailored to the demands of regional end users at all stages of development, including start-ups, established businesses, business alliances, students, internationalization, and so on. Training and skills development, support to find investment, transfer technology will all be part of the focus service packages, focusing on smart regional areas of specialization. Given the presence of technology, education, and research providers and beneficiaries within the partnership, Next-Gen-BIoTechEDIH aspires to become a regional, national, and international reference hub for high-quality services.More specifically, the Hub have a vision and technological focus on AI and Robotics, and Sensors. Next-Gen-BIoTechEDIH aims at promoting the widespread adoption of digital technologies, with a specific focus on 1) Industry 4.0 2) Internet of things (IoT), 3) HPC, 4) High-level Digital Skills and Wide use of technology in all areas of the economy and public life to SMEs, MidCaps, the public sector. The Hub to be supported in their digital and green transformation and adopting circular business model, in line with present challenges faced by the EU and with the DIGITAL. Next-Gen-BIoTchEDIH will also act as an access point to the European network of EDIHs, helping local SMEs and public authorities get the needed support in all cases with a wide EDIH network. It is our great interest to be part of a suitable European network (EDIH Corridor) with other EDIHs, interested primarily to all relevant topics.</t>
  </si>
  <si>
    <t>Maria Sirakova</t>
  </si>
  <si>
    <t>Plovdiv, 4000 Plovdiv, Bulgaria</t>
  </si>
  <si>
    <t>agricultural biotechnology and food biotechnology, communityled local development, health care, travel and tourism</t>
  </si>
  <si>
    <t>circular economy, sme support, ecosystem building, finance, technological innovation</t>
  </si>
  <si>
    <t>internet of things, big data, artificial intelligence decision support, blockchain and distributed ledger technology dlt, cybersecurity, industrial biotechnology</t>
  </si>
  <si>
    <t>Azores Digital Innovation Hub on Tourism and Sustainability</t>
  </si>
  <si>
    <t>The AzoresDIH (AzDIH) is a partnership of 13 organizations specialized in business digitalisation, providing infrastructure, resources, and knowledge for the digital transformation of companies and public institutions. The AzoresDIH is aligned with its regional smart specialization strategy (S3) but seeks and prioritises collaboration with entities in other European countries. The AzDIH consortium aims to achieve the following objectives: i. act as an one-stop-shop and cornerstone mechanism for coordination of digitalisation and digital transformation in the regional industry (with particular attention to SMEs) and public institutions, facilitating the development and uptake of digital technologies in a combined and complementary effort with other local stakeholders. ii. update and build capacities on the necessary infrastructure, expertise, and resources to provide a complete set of services aligned with the digital needs of start-ups, SMEs, mid-caps, and public institutions in the Azores Archipelago, with a focus on Tourism, sustainability, and green transition; and. iii. engage with the Network of European Digital Innovation Hubs to deliver and receive improved capabilities in High Performance Compiting, Artificial Intelligence, Cybersecurity, Advanced Digital Skills and to speed up the best use of digital technologies, not just limited to the Azores Archipelago ecosystem, but also to other European regions, under a collaborative approach with other EDIHs. With a special focus on tourism and sustainability, green economy, and manufacturing sectors, the AzDIH will coordinate all its consortium member resources and capacities to deliver a number of digitalisation-oriented services, as well as to monitor the impact on the target groups, categorized in the domains of test before investing, support to find investments, training and digital skills, and ecosystem, networking and entrepreneurship.</t>
  </si>
  <si>
    <t>Teresa Ferreira</t>
  </si>
  <si>
    <t>Rua da Tecnologia K Épsilon, nº 2, 9560-421 Lagoa, Portugal</t>
  </si>
  <si>
    <t>https://azoresdih.pt/</t>
  </si>
  <si>
    <t>agricultural biotechnology and food biotechnology, construction assembly, communityled local development, consumer products, cultural and creative economy, education, electricity, energy, environment, fishery, food and beverages, health care, manufacturing and processing, maritime, personal services, public administration, real estate, retail, wholesale or distribution, smart city, space, telecommunications, textiles, transport mobility, travel and tourism</t>
  </si>
  <si>
    <t>circular economy, ecosystem building, field trial, innovation management, knowledge transfer, prototyping, public sector innovation, smart specialisation strategies, sme business development, sme support, technological innovation, technology transfer, vocational training</t>
  </si>
  <si>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t>
  </si>
  <si>
    <t>Unlocking the innovative potential of the South Central Region of Bulgaria and in the agricultural sector</t>
  </si>
  <si>
    <t>AgroDigiRise, building on the existing AgroHub.BG, will be the EDIH of the South Central region (SCR) of Bulgaria. The main objective of the project is to support the region – SMEs and the agri-food sector in particular - in its digital and green transformation by providing an integrated portfolio of services, targeting the needs identified. The project aims at developing the potential of the agri-food sector, SMEs and public sector from the SCR by providing an access to technical facilities and various services that will support their digital transformation by:  Development of a dynamic and sustainable innovative ecosystem and accelerating the interaction between key factors - mutual learning and cooperation, cross-sector collaboration, awareness raising and networking on a regional, national and EU level;  Providing access to innovative facilities and test before invest services – establishing and expanding a network of demo points with focus on precision farming, access to technical expertise and data;  Enhancing the competences and capabilities of SMEs and agri-food sector via trainings for digital skills acquisition - development of digital competencies of farmers, SMEs and public administration via tailor-made training programmes;  Support of the digital and business transformation with consultancy and financial advice services – development of digital maturity in the agricultural sector via technological audits, assessments, consultation processes, digitalization and business plans, market analyses, etc. By connecting previously fragmented ecosystems of different digital solution providers and the end-users, to academia and public sector, the project will support the competitiveness and green transition of the SCR, attracting serious interest in innovations and incorporating them into practice. This will stimulate the economic potential not only in the region, but within the country and the EU, as digital solutions will be broadly multiplied.</t>
  </si>
  <si>
    <t>Svetlana Boyanova</t>
  </si>
  <si>
    <t>str. Damyan Gruev 1, fl. 6, 1606 Sofia, Bulgaria</t>
  </si>
  <si>
    <t>https://edih.agrohub.bg</t>
  </si>
  <si>
    <t>agricultural biotechnology and food biotechnology, education</t>
  </si>
  <si>
    <t>knowledge transfer, ecosystem building, sme support, sme business development, vocational training, technology transfer, regional development, technological innovation</t>
  </si>
  <si>
    <t>artificial intelligence decision support, big data, cloud services, sensors vision processing systems, cybersecurity, software architectures, locationbased applications</t>
  </si>
  <si>
    <t>Andalucía Agrotech Digital Innovation Hub</t>
  </si>
  <si>
    <t>Andalucía Agrotech DIH was established in 2016 under the impulse and leadership of the Regional Ministry of Agriculture, Livestock, Fisheries and Sustainable Development. Since its inception Agrotech has worked actively in the field of European cooperation, to transfer to the regional agri-food sector the best practices identified in territories that are leaders in the field of digitalisation. In this sense, Agrotech has become a European reference in the cooperation and promotion of the digital transformation of the agricultural sector. In recent years, Agrotech has led numerous initiatives related to the digital transformation of the agri-food sector. Among the most recent initiatives is the HIBA project, an ambitious initiative that stimulates the consolidation of an Iberian ecosystem that boosts business initiative, competitiveness and sustainability in the agri-food sector. Thanks to the excellent capabilities of the consortium members, Agrotech will make available to agri-food companies digital technologies such as Artificial Intelligence, High Performance Computing and cybersecurity. Services based on these technologies, together with other key digital technologies, will form the basis of the portfolio of services to be offered by Agrotech. Although the users of Agrotech will be mainly Andalusian companies, the impact of the activities to promote digital transformation goes beyond this region. The internationalisation of Agrotech's activity will be supported by a wide network of collaborations that have been built up over the years, as evidenced in the MoUs provided. Agrotech's ambition is to provide direct digital transformation support to a total of 273 agri-food companies. Training and innovation ecosystem strengthening activities will multiply the impact of Agrotech's activities. In economic terms, the activities promoted by Agrotech will trigger investments worth €2.52 million.</t>
  </si>
  <si>
    <t>Manuel Teva Fernández</t>
  </si>
  <si>
    <t>C/ Tabladilla s/n, 41013 Sevilla Sevilla, Spain</t>
  </si>
  <si>
    <t>https://www.andaluciaagrotech.com/</t>
  </si>
  <si>
    <t>agricultural biotechnology and food biotechnology, food and beverages, manufacturing and processing</t>
  </si>
  <si>
    <t>technological innovation, ecosystem building, vocational training, regional development, knowledge transfer, technology transfer, sme business development, innovation management, field trial, finance</t>
  </si>
  <si>
    <t>artificial intelligence decision support, internet of things, locationbased applications, big data, robotics, high performance computing, cybersecurity, sensors vision processing systems, digital twins, blockchain and distributed ledger technology dlt, additive manufacturing, cyberphysical systems, cloud services, virtual reality</t>
  </si>
  <si>
    <t>Asturias Digital Innovation Hub</t>
  </si>
  <si>
    <t>Following the strategy under implementation since 2017, the Asturias Digital Innovation Hub (AsDIH) is the single proposal from Asturias (North coast of Spain) involving 10 partners representing all the relevant regional stakeholders. Under the coordination of the Agency for Science, Business Competitiveness and Innovation of the Principality of Asturias, its design responds to a comprehensive analysis of the digitalisation needs of the regional business fabric, together with a thorough identification of the digital transformation capacities within the territory. Thus, the AsDIH will strengthen the competitiveness of regional economy by stimulating a rapid increase in the digital maturity of enterprises in Asturias, with a focus on industrial SMEs, enabled by the technological strengths of the region´s in the areas of additive manufacturing, data analysis, sensory and artificial vision, fully aligned with the Smart Specialization Strategy of Asturias. This project implies going a step forward for the consolidation of the DIH, since it will allow the upgrading of the AsDIH, structuring, improving and completing the existing services for the companies linked to test before invest, access to funding, skills and training and networking and ecosystems. Also, the project will allow the AsDIH to network with other hubs at EU level, to internationally complement the digital transformation service offer for regional SMEs and to make available the regional digital capacities in Europe, as well as to share best practices and specialised knowledge. To do this, the creation of the AsDIH Technical Office, a one-stop-shop offering a holistic support service for digital transformation through a comprehensive customer journey across different types of services and including continuous monitoring and evaluation of their quality and impact, will allow the orchestration of the services delivered and the stakeholders involved, in order to maximise the impact.</t>
  </si>
  <si>
    <t>Jaime Fernandez</t>
  </si>
  <si>
    <t>Parque Tecnológico de Asturias, 33428 Llanera Asturias, Spain</t>
  </si>
  <si>
    <t>http://www.asdih.es/en</t>
  </si>
  <si>
    <t>agricultural biotechnology and food biotechnology, construction assembly, defence, electricity, energy, energy, fuels and petroleum engineering, environment, food and beverages, health care, manufacturing and processing, metal working and industrial production, nmp nonmetallic materials basic processes, paper and wood, smart city, telecommunications, transport mobility</t>
  </si>
  <si>
    <t>ecosystem building, finance, knowledge transfer, regional development, smart specialisation strategies, circular economy, innovation management, prototyping, sme support, technological innovation, technology transfer, vocational training</t>
  </si>
  <si>
    <t>additive manufacturing, artificial intelligence decision support, big data, blockchain and distributed ledger technology dlt, internet of things, sensors vision processing systems, virtual reality</t>
  </si>
  <si>
    <t>Smart specialisation on advanced digitalisation technologies through Central Denmark European Digital Innovation Hub</t>
  </si>
  <si>
    <t>TechCircle is based in Central Denmark designed to support SMEs to innovate and develop their companies and products and is a strong alliance between stakeholders within business development, researchers, and public sectors. The aim is also to overcome the sustainability challenges and the environmental impact of their manufacturing, production, and consumption value chains. This will lead to a significant technological boost, leveraging Circular Economy approaches: use of data, data analytics, handling of big data and analysis and production of new data, to ultimately achieve economic impacts, such as more efficient processes, reduced risk, improved durability of products, new products and services, improved energy and resource efficiency, improved revenues and other.
TechCircle is a collaboration between 10 partners within the Danish business innovation eco-system. The hub is based on the strengths and focus of the Central Denmark region including, but not limited to, a focus on agriculture and the food industry, manufacturing, digital technologies etc. The Hub's aim is to promote and accelerate advanced digital capacities and technologies, ultimately contributing to the region's path to sustainability and implementing smart city and circular economy initiatives in its broadest sense.
Business Hub Central Denmark coordinates TechCircle/CD-EDIH and supports over 5000 companies annually in central Denmark. They offer impartial guidance, facilitate networking opportunities, and provide co-financing options across various business domains including strategy, sales, marketing, funding, digital transformation, and green initiatives. Their mission is to foster growth, innovation, and sustainable development for companies and entrepreneurs.
Aarhus University are pioneering automated verification, big data analysis, machine intelligence, cybersecurity, and more. Their interdisciplinary approach ensures a comprehensive understanding of the digital landscape, and they are dedicated researchers collaborate across departments to shape the future of technology and business development.
The Alexandra Institute assists companies and organizations in applying world-class IT research in practical settings. Their R&amp;D specialists cover disciplines such as CyberSecurity, Artificial Intelligence (AI), Data analysis, Augmented Reality, IoT, Visual Computing, and more.
CLEAN concentrates on data and digital solutions that support and enable innovative sustainable solutions within water and resources. Their key domains include sustainable groundwater use, reducing leakages (non-revenue water), resource recovery from wastewater, mitigating overflow, sustainable materials, circular and sustainable systems (such as take-back solutions and material reuse, including plastics), emission detection, carbon capture and utilization (CCUS), biodiversity, etc.
DigitalLead is the Danish cluster for digitalization and innovation, where businesses, research institutions, and public authorities collaborate to drive innovation. Their focus is on cutting-edge Horizon projects and partnerships related to digitalization.
FORCE Technology concentrates on digital and sustainable solutions, including designing products with long lifetimes, assessing and optimizing factory sustainability, condition monitoring, implementing take-back systems, and documenting sustainability.
Food &amp; Bio Cluster Denmark accelerates innovation and sustainable development in food and bioresources. They achieve this through inspiration, networking, collaborations, and business development in partnership with knowledge institutions, investors, and public authorities.
We Build Denmark strategically partners in the building and construction industry to transform infrastructure with digital and sustainable innovation.
MADE emphasizes Smart and Sustainable manufacturing, digitalization, and automation, including Industry 4.0 technologies and Industry 5.0 perspectives across shop floors and value chains. They aim to increase knowledge exchange, establish collaboration agreements, and participate in project proposals across Europe.
The City of Aarhus is committed to leading smart city initiatives and is interested in developing and testing new innovative and emerging technologies such as AI, IoT, and data spaces in urban environments.</t>
  </si>
  <si>
    <t>Lars Mønsted Nielsen</t>
  </si>
  <si>
    <t>Abogade 15, 8200 Aarhus n, Denmark</t>
  </si>
  <si>
    <t>agricultural biotechnology and food biotechnology, education, environment, manufacturing and processing, smart city</t>
  </si>
  <si>
    <t>circular economy, field trial, sme business development, sme support, finance, innovation management, knowledge transfer, public sector innovation, regional development, technological innovation</t>
  </si>
  <si>
    <t>data,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micro and nanoelectronics, optoelectronics, quantum technologies computingcommunication, robotics, semiconductors and nanotechnology, sensors vision processing systems, simulation engineering and modelling, software architectures, virtual reality</t>
  </si>
  <si>
    <t>Circular Health European Digital Innovation Hub</t>
  </si>
  <si>
    <t>Circular Health EDIH specific focus is the applicative are of Circular Health: the connection between human health and the one of animals, plants and the environment. It has Health and Agri-food SMEs and PAs in Piedmont and Valle d’Aosta in Italy as targets. It coordinates universities, DIHs, innovation clusters, industrial associations, chambers of commerce, public and private ICT providers, higher technical institutes, independent financial consultants, incubators, accelerators, EEN nodes, KICs EIT Health and Food. The expertise is focused on Artificial Intelligence, HPC (in EuroHPC DE programme), Cybersecurity and Blockchain for traceability, but it does not disregard higher TRL solutions given the low level of digitalization of its customers. To ensure a truly European dimension, CHEDIH created a network of EDIHs around Europe: 22 EDIH candidates specialized in Health or Agri-food signed a multi-lateral agreement to share a common catalogue of services, and coordinate with DTA. Its pipeline of services includes: 1) Networking to engage customers with innovative solutions such as the social networking platform FirstLife and artistic performances. 2) A digital readiness and a green assessment produce a digital roadmap, identifying technologies and training needs. 3) Test before invest exploits the technological expertise of universities and ICT providers. 4) It offers short reskilling courses, produces MOOCs and integrates with the wider higher education systems 5) the customers are supported to build a business plan, and to find public or private fundings by an independent financial advisor and an international law firm expert in M&amp;A and also through InvestEU and Startup Europe.</t>
  </si>
  <si>
    <t>Laura Montagna</t>
  </si>
  <si>
    <t>Via Giuseppe Verdi 8, 10124 Torino TO, Italy</t>
  </si>
  <si>
    <t>http://www.chedih.eu</t>
  </si>
  <si>
    <t>agricultural biotechnology and food biotechnology, health care</t>
  </si>
  <si>
    <t>finance, ecosystem building, sme support, public sector innovation, knowledge transfer, vocational training, sme business development</t>
  </si>
  <si>
    <t>artificial intelligence decision support, blockchain and distributed ledger technology dlt, cybersecurity, internet of things, digital twins, high performance computing, virtual reality</t>
  </si>
  <si>
    <t>Cross-Industry Transformation in Agriculture and Health</t>
  </si>
  <si>
    <t>The proposed EDIH “Cross-Industry Transformation in Agriculture and Health” (CITAH) implements the idea of regionally effective lead industries and activates agri-food and health as innovation domains in Northwest Germany (NUTS-2 region DE94, Weser-Ems) that drive the cross-industry development of innovative technologies as well as their adaptation and diffusion. CITAH institutionalizes a focal point, firstly for regional transfer between cutting-edge research and practice, secondly for cross-industry adaptation, through which “hidden champions” from different sectors benefit from active knowledge exchange, and thirdly for leveraging the potential of cross-border services through digitalization. CITAH positions itself as a centre for the regional innovation ecosystem by providing services in four fields: • Integration of prototypes and products into the innovation laboratories for agriculture and health, both for testing under almost real conditions and for demonstration to potential (cross-domain) customers. • Training and knowledge transfer on technological competencies (artificial intelligence, interoperability, cybersecurity) and their domain-specific implementations and regulations, • Advisory in financing digitization activities, • Networking of stakeholders from the two addressed industrial domains with information technology companies to form strategic alliances and ecosystems. CITAH builds upon the successful work of the Centre for Digital Innovation in Lower Saxony (ZDIN), founded in 2019 by the state of Lower Saxony, Germany, to institutionalize the process of digital transformation). Through its partnerships, CITAH addresses around 600 companies in the direct regional business environment as well as a multiple in the indirect environment through nationwide multipliers such as Chamber of Commerce and Industry, Chamber of Crafts, German Electrical and Electronic Manufacturers' Association and Federal Office of Consumer Protection and Food Safety.</t>
  </si>
  <si>
    <t>Marco EICHELBERG</t>
  </si>
  <si>
    <t>Escherweg 2, 26121 Oldenburg, Germany</t>
  </si>
  <si>
    <t>https://www.citah.de/</t>
  </si>
  <si>
    <t>prototyping, public sector innovation, sme support, ecosystem building, technology transfer, knowledge transfer</t>
  </si>
  <si>
    <t>CROatian Industry and Society BOosting – European Digital Innovation HUB</t>
  </si>
  <si>
    <t>Europe is at the beginning of biggest transformation in history, and it is all based on understanding that the way we use limited natural resources for maintaining and improving our living standard in Europe and in the world has come to an end. It is crucial to start improving business and society but to do it on more sustainable and innovative way through digital and green transformation. Based on this notion the crucial aspect that we don’t have is time but on the other hand through all data it shows that knowledge, infrastructure, and experience is existing, but it is insufficiently connected, facilitated and focused throughout Europe and this is why we need more networked approach. In that context we see European Digital Innovation Hub (EDIH) CROBOHUB ++ as an ecosystem of excellence that is specialized in three key areas of the Digital European Program (DEP): 1. Artificial intelligence, 2. Cybersecurity, 3. High-performance computing. Our intention is to form the core of a coherent package of services that will support SMEs that intend to harness the digital and green transformation with focus on the following sectors: 1. Manufacturing industry, 2. Digitized agriculture, 3. Energy and environment as well as to help 4. Public administration to become more agile and data driven. EDIH CROBOHUB++ will be a non-for-profit hub acting in the NUTS2 region HR04 "Continental Croatia" with national scope. The support will be provided in the following technologies: Blockchain, Computer vision, Digital simulations, Embedded control and automation systems, IoT, Robotics and Smart sensors. The support will take the form of various types of services as Financial and business consulting, Knowledge and technology transfer, Pre-investment testing: integration and adaptation of technologies, digital testing, demonstration activities, Networking between companies or with users and technology suppliers and training&amp;skills development in different digital&amp;busines competencies.</t>
  </si>
  <si>
    <t>Hrvoje DZAPO</t>
  </si>
  <si>
    <t>Unska 3, 10000 Zagreb, Croatia</t>
  </si>
  <si>
    <t>agricultural biotechnology and food biotechnology, automotive, energy, environment, manufacturing and processing, metal working and industrial production, public administration, security, smart city</t>
  </si>
  <si>
    <t>ecosystem building, field trial, innovation management, finance, knowledge transfer, prototyping, public sector innovation, sme business development, sme support, technological innovation, technology transfer, vocational training</t>
  </si>
  <si>
    <t>artificial intelligence decision support, cybersecurity, high performance computing, blockchain and distributed ledger technology dlt, digital twins, internet of things, robotics, sensors vision processing systems, cyberphysical systems, big data, simulation engineering and modelling</t>
  </si>
  <si>
    <t>Cantabria Digital Innovation Hub (DIH)</t>
  </si>
  <si>
    <t>Cantabria DIH is an initiative led by the Regional Government that brings together key players in the regional innovation ecosystem. The consortium that promotes Cantabria DIH is a balanced sample of the main regional Competence Centres, business associations, chambers of commerce and also public entities. This approach ensures a fully alignment of Cantabria DIH 's value proposition on based of the digital transformation needs of Cantabrian companies. The application areas on which the Cantabria DIH will be focus (health and well-being, Industry 4.0 and cultural industry and sustainable tourism) and its associated sectors are consistent with the priorities formulated in the Smart Specialisation Strategy - Cantabria RIS3, and its evolution for the current multiannual financial framework. These economic activities have a large potential for improving their competitiveness and exploit its full potential by relying on digital technologies. Thanks to the excellent capabilities of the consortium members, Cantabria DIH will make key digital technologies available to regional companies, such as Artificial Intelligence, High Performance Computing and cybersecurity. Services based on these technologies, together with other key digital technologies, will form the basis of the portfolio of services to be offered by Cantabria DIH. The customers of Cantabria DIH will be mainly regional companies. However, the impact of the activities to promote digital transformation goes beyond this region. The internationalisation of Cantabria DIH's activity will be supported by a network of collaborations with other EDIHs that have complementary capabilities, mentioned in the proposal. The activities developed by the Hub over the next three years are expected to directly accelerate the digital transformation of almost 250 companies. The additional investment to be mobilised is estimated at €1.26 million.</t>
  </si>
  <si>
    <t>Jorge Muyo</t>
  </si>
  <si>
    <t>C. Peña Herbosa, 29, 39003 Santander, Cantabria, 39009 Santander Cantabria, Spain</t>
  </si>
  <si>
    <t>agricultural biotechnology and food biotechnology, automotive, communityled local development, construction assembly, cultural and creative economy, defence, energy, environment, health care, travel and tourism, telecommunications, manufacturing and processing, maritime, metal working and industrial production, nuclear, smart city, space, public administration</t>
  </si>
  <si>
    <t>ecosystem building, finance, sme support, public sector innovation, smart specialisation strategies, technological innovation, technology transfer</t>
  </si>
  <si>
    <t>big data, high performance computing, internet of things, robotics, additive manufacturing, artificial intelligence decision support, blockchain and distributed ledger technology dlt, chemical engineering plants, products, cloud services, communication network, cyberphysical systems, cybersecurity, digital twins, displays, gamification, human computer interaction, industrial biotechnology, internet services applications, simulation engineering and modelling</t>
  </si>
  <si>
    <t>Digital Innovation Hub for the deployment of Artificial Intelligence and Data Analytics in SMEs in the primary, biotechnological and health sectors</t>
  </si>
  <si>
    <t>DATAlife is designed considering Galicia’s future potential and challenges, current R&amp;D capabilities and traditional strengths. Rich in natural resources, Galicia has the opportunity to manage them in a smart manner, that ensures their sustainability, a healthy environment and business models that add value to those working in rural areas. With one on the longest life expectancies in the world, it must step up to offer quality of life to its ageing population, with better medicines and care services, exploiting innovations based on combining complex information and advanced analytical models. With the common aim of accelerating digital transformation, universities, technological &amp; competence sectors, sectoral clusters and large companies will work together, creating a fair, green and healthy economy fit for the age of information. A high-quality digital revolution will be centred in the persons, the environment they live in and their wellbeing. This will be achieved by increasing AI uptake in SMEs and public administration with easy-to-use applications; creating collaborative, federated data spaces; unburdening workers by automatically retrieve data with IoT; remaining competitive by HPC usage and securing sensitive data with the latest European cybersecurity applications.</t>
  </si>
  <si>
    <t>Lucía Castro Díaz</t>
  </si>
  <si>
    <t>Lope Gómez de Marzoa, 15705 Santiago de compostela A Coruña, Spain</t>
  </si>
  <si>
    <t>agricultural biotechnology and food biotechnology, energy, environment, fishery, food and beverages, health care, life sciences, maritime, paper and wood, public administration, telecommunications</t>
  </si>
  <si>
    <t>artificial intelligence decision support, big data, cybersecurity, high performance computing, internet of things, cloud services, sensors vision processing systems</t>
  </si>
  <si>
    <t>DIH·bio (Digital Health - Biosciences)</t>
  </si>
  <si>
    <t>Thanks to digital technologies such as AI or HPC and the massive generation of medical and other health-related data, traditional methods for early detection, diagnosis, treatment, patient management, precision medicine, drug development, genomics, or medical image analysis are being transformed. This is driving an evolution of health-related activities from a reactive approach (curing diseases) to an approach based on the P4 medicine paradigm: Predictive, Preventive, Personalised and Participatory. This conviction has driven the setting up of Digital Health-Biosciences (DIH bio). DIH bio results from long-term collaborative patterns established around the Campus of International Excellence UAM (Universidad Autónoma de Madrid) + CSIC (Spain´s Scientific Research Council) that includes leading Competence Centres focused on digital and health domains. It has joined 42 Quadruple Helix actors (industry, academia, civil society and public authorities) that have a say in Bio-Health&amp; Digital fields: from deep-tech startups to technology MNCs, research centers, the University, hospitals, pharmaceutical companies, investors, scientific park, business associations, chamber of commerce and public authorities. Also, MoUs have been signed to create Health-related corridors with other EDIH candidates. This has allowed a holistic design of a service portfolio with a high degree of specialization and know-how focused on helping health&amp;Bio related startups, SMEs and public entities to address the challenges of the digital transition. It will support them in using digital technologies, highlighting AI and HPC as critical tools and the relevance of cybersecurity as very sensitive information has to be managed. It also provides a comprehensive life-cycle: from matching partners for the digital transformation process to securing financial resources or training the workforce to upskill their capabilities and devoting particular relevance to TBI activities.</t>
  </si>
  <si>
    <t>Luis Villarrubia</t>
  </si>
  <si>
    <t>Calle Einstein 3, Ciudad Universitaria de Cantoblanco, 28049 Madrid Madrid, Spain</t>
  </si>
  <si>
    <t>https://dihbio.eu/</t>
  </si>
  <si>
    <t>agricultural biotechnology and food biotechnology, consumer products, education, environment, food and beverages, health care, life sciences, manufacturing and processing, personal services, public administration, smart city, telecommunications</t>
  </si>
  <si>
    <t>ecosystem building, field trial, finance, innovation management, knowledge transfer, prototyping, public sector innovation, regional development, sme business development, sme support, technological innovation, technology transfer, vocational training</t>
  </si>
  <si>
    <t>artificial intelligence decision support, big data, blockchain and distributed ledger technology dlt, cloud services, communication network, cyberphysical systems, cybersecurity, digital twins, gamification, high performance computing, human computer interaction, industrial biotechnology, internet of things, internet services applications, locationbased applications,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</si>
  <si>
    <t>Digital Valley Albania 1.0</t>
  </si>
  <si>
    <t>Digital Valley Albania (DiVA) represents a key strategic effort designed to expedite the digital transformation process for Small and Medium-sized Enterprises (SMEs) throughout Albania, with a particular emphasis on vital industries for the country such as tourism and agriculture. DiVA's primary objective isto facilitate the integration of advanced digital technologies, including Artificial Intelligence (AI) and Cybersecurity, into the SME operational frameworks. This initiative is strategically aligned with the national development priorities of Albania and the digitization goals of the European Union, aiming to significantly enhance the digital competencies of Albanian enterprises. Moreover, it seeks to elevate their Environmental, Social, and Governance (ESG) standings by promoting the responsible adoption of technology. This initiative plays a critical role in bridging the digital gap within the Albanian SME sector, contributing to the national goal of creating a robust digital economy that is in harmony with European digital standards. DiVA's focused approach on enhancing the digital infrastructure and expertise of SMEs underscores its commitment to fostering economic growth and competitiveness through digital innovation. DiVA will be offering a multitude of services tailored to support the digital advancement of SMEs. These services encompass technology testing before investment, development and training in advanced digital skills, assistance in securing investment, and facilitating access to wider innovation ecosystems. The consortium team is composed of a diverse and highly skilled group of professionals who are well-versed in the realms of digital technology, research, innovation, AI, cybersecurity, and sustainability, united by a shared vision of fostering positive and lasting change within Albania's tourism sector through digitalization.</t>
  </si>
  <si>
    <t>Dr. Igli Hakrama</t>
  </si>
  <si>
    <t>Godina Qendrore, Rruga Sotir Kolea, 1010, Tirana, Albania</t>
  </si>
  <si>
    <t>https://divalbania.eu/</t>
  </si>
  <si>
    <t>cultural and creative economy, education, personal services, public administration, retail, wholesale or distribution, security, smart city, transport mobility, transport sector, travel and tourism</t>
  </si>
  <si>
    <t>innovation management, prototyping, public sector innovation, smart specialisation strategies, sme business development, sme support, technological innovation, technology transfer, vocational training</t>
  </si>
  <si>
    <t>artificial intelligence decision support, bi tools, big data, gamification, internet services applications, locationbased applications, logistics, software architectures, virtual reality</t>
  </si>
  <si>
    <t>Cyprus DIGital INNovation Hub</t>
  </si>
  <si>
    <t>DiGiNN will introduce a new level of support toward the digital transformation of Cyprus, as the country needs urgent action to address its digital maturity levels. DiGiNN aspires to become a one-stop-shop for all companies and public sector organisations, providing them an end-to-end experience in their digitisation journey; from coaching and mentoring by reputable experts, access to the most advanced infrastructure and facilities, support to find investments, to networking and access to innovation ecosystems. To achieve this, we gather the local champions in digital technologies, including all relevant Centres of Excellence, and partner them with both National industrial representation bodies and sectoral associations, thus establishing the direct interface between state-of-the-art offer and broad demand. Blending in are the most active incubators, whose mission is to nurture innovative start-ups in the early stages of commercialisation and support them in terms of upskilling, networking and accessing funds for further development. Finally, DiGiNN will orchestrate a number of groups and clusters, introducing representatives of the quintuple helix to ensure that our motto “Leaving no one behind” drives our activities throughout the project and creates the conditions for sustainable digital development of the local ecosystem. Furthermore, DiGiNN takes it one step further than just being an excellent service provider and facilitator; High in our agenda is to develop a “Digital culture” among the National economy actors, by creating the appropriate ecosystem and developing working relations between the country’s economic actors and the experts who can enable the digital transformation of private (SMEs) and the public sectors in Cyprus and Europe. This will not only drive demand, but ensure that the ecosystem continues to operate and develop once the EC and local funding is no longer available at the end of the 3+4 year period.</t>
  </si>
  <si>
    <t>Vassilis Tsakalos</t>
  </si>
  <si>
    <t>Constantinou Kavafi 20, 2121 Nicosia, Cyprus</t>
  </si>
  <si>
    <t>https://www.diginn.eu/</t>
  </si>
  <si>
    <t>cultural and creative economy, energy, environment</t>
  </si>
  <si>
    <t>innovation management, sme support</t>
  </si>
  <si>
    <t>artificial intelligence decision support, big data, cybersecurity, high performance computing</t>
  </si>
  <si>
    <t>HERITAGE SMARTLAB</t>
  </si>
  <si>
    <t>The Heritage SmartLab (HSL) proposal is aimed at creating the largest, most structured and qualified European Digital Innovation Hub -based in Basilicata region, with two spokes in Campania and Apulia-, specialised on Cultural Heritage and Cultural and Creative Industries (CH&amp;CCIs), a wide sector of the local economy and society -that is, not by chance, at the core of the three Regional Smart Specialisation Strategies- in which converge great public interest and high innovation and business potential. The EDIH initiative, that is strongly supported by Basilicata Region, through its local development agency Sviluppo Basilicata, and by the Municipality of Matera, that participates in this proposal as associated partner, is aimed at creating a Cultural and Creative district based in the wonderful context of the UNESCO World Heritage Site - Sassi of Matera, with a strong international dimension and approach to the market needs of its public and private customers. The proposal leverages on two important initiatives promoted in Basilicata region: the House of Emerging Technology (HET), the main technological infrastructure the City of Matera has made available to the project for designing, prototyping and testing of new products, and the Talent’s Academy promoted by Basilicata Region, based on the Apple Academy of Naples model: an advanced and multidisciplinary training platform, that thanks to the synergies with HSL, will be further specialised on the application of Artificial Intelligence (AI), High Performing Computing (HPC) and Cybersecurity (CS) to CH&amp;CCIs, with the goal to attract talents, upskill and reskill personnel, create a new generation of professional with strong and up–to–date digital competences. The Hub of Matera, with the 2 spokes in Naples and Bari, will represent an innovation triangle in the sector of CH&amp;CCIs, rooted in Southern Italy, active in the European and Mediterranean context and strongly interconnected with the global innovation ecosystem.</t>
  </si>
  <si>
    <t>Raffaele Vitulli</t>
  </si>
  <si>
    <t>Via San Rocco, 1, 75100 Matera MT, Italy</t>
  </si>
  <si>
    <t>http://www.heritagesmartlab.it</t>
  </si>
  <si>
    <t>cultural and creative economy, communityled local development, travel and tourism, education, smart city, personal services, smart city, telecommunications</t>
  </si>
  <si>
    <t>prototyping, knowledge transfer, technology transfer, vocational training, public sector innovation, finance, sme business development</t>
  </si>
  <si>
    <t>big data, blockchain and distributed ledger technology dlt, cloud services, communication network, cybersecurity, gamification, digital twins, displays, internet of things, virtual reality, internet services applications, robotics, software architectures, sensors vision processing systems, artificial intelligence decision support</t>
  </si>
  <si>
    <t>Mittelstand Digital Zentrum Tourismus</t>
  </si>
  <si>
    <t>The Mittelstand-Digital Centre for Tourism supports small and medium-sized enterprises in the tourism industry in their sustainable digital transformation. It provides practice-orientated knowledge on digital technologies, data systems and other digital solutions along the entire travel chain. It connects businesses and digital solution providers and focusses on technology and future topics that are particularly relevant to the industry. By offering targeted information, events, workshops and mentoring programmes, it enables companies in the tourism industry to make their business models resilient and, in the best case, sustainable and regenerative. The Mittelstand-Digital Centre for Tourism is part of Mittelstand-Digital. With the SME Digital Network, the Federal Ministry for Economic Affairs and Climate Protection (BMWK) supports digitalisation in small and medium-sized enterprises and the skilled trades. The BMWK enables free use and provides financial subsidies. Further information can be found at www.mittelstand-digital.de.</t>
  </si>
  <si>
    <t>Dr. Simone Wurster</t>
  </si>
  <si>
    <t>Technische universität berlin, hardenbergstr. 16-18, 10623 Berlin, Germany</t>
  </si>
  <si>
    <t>https://digitalzentrum-tourismus.de/</t>
  </si>
  <si>
    <t>cultural and creative economy, travel and tourism</t>
  </si>
  <si>
    <t>innovation management, knowledge transfer, sme business development, sme support, technology transfer</t>
  </si>
  <si>
    <t>artificial intelligence decision support, cybersecurity, internet services applications, mobility</t>
  </si>
  <si>
    <t>Smart Attica DIH, the Attica region - Greek Innovation hub for Artificial Intelligence in Energy and Environment, Supply chain and mobility, Culture and Tourism</t>
  </si>
  <si>
    <t>Smart Attica aims to constitute the reference AI EDIH of Greece and increase the digital maturity of Greek businesses and local authorities through increased AI uptake. Its thematic focus lies upon 3 financial activity sectors which are critical for the targeted Attica region and the Greek economy. These sectors, Energy and Environment, Supply chain and mobility, as well as Culture and Tourism, are also aligned to establish international and national actions for green, sustainable, inclusive digital growth. The Hub is based on existing clusters and EU-wide initiatives, making it a valuable policy-support instrument towards key EU directions.
Smart Attica mobilises powerful infrastructures and facilities, from 5G to HPC to the entire Demokritos smart campus, where solutions of all sectors can be deployed, tested and analysed. Smart Attica services (test-before-invest, upskilling, networking and investment support) will seamlessly integrate with the Εnterprise Εurope Νetwork and local business networks. They will also build upon the world-level Hub’s expertise on AI, supported by the HPC &amp; Cybersecurity partnership knowhow, but also horizontally integrate the human-centric, ethics-by-design EU AI vision, and infuse resilience and sustainability considerations across service provision.
Smart Attica will mobilize an inclusive, collaborative innovation ecosystem bootstrapped through its unique arsenal of 17 partners, which constitute major stakeholders in Greece &amp; EU in AI and bring significant additional knowhow in domains such as HPC, Cybersecurity, advanced digital skills, and domain knowledge across all thematic focus areas. This expertise and the varying roles of the partners guarantees the empowerment of the beneficiaries, offering a full range of services coming from research and academia, private sector entrepreneurship, banking and financing, technology transfer, accelerators, public sector and local society representatives, social change catalyst, national infrastructures.</t>
  </si>
  <si>
    <t>Periklis Terlixidis</t>
  </si>
  <si>
    <t>Neapoleos 27 &amp; End of Patriarchou Grigoriou E, 15341 Agia Paraskevi, Greece</t>
  </si>
  <si>
    <t>cultural and creative economy, energy, environment, retail, wholesale or distribution, transport mobility, travel and tourism</t>
  </si>
  <si>
    <t>sme support, ecosystem building, finance, innovation management, field trial, public sector innovation, sme business development, technological innovation</t>
  </si>
  <si>
    <t>EDI.it srl</t>
  </si>
  <si>
    <t>EDI (Ecosistema Digitale per l’Innovazione), the Digital Innovation Hub of Confcommercio, plays a pivotal role in supporting businesses through the challenges of digital and sustainable transformation. The DIH is part of the national and European network of organizations designed to foster the integration of digital technologies into businesses. Following a detailed overview of the main activities: 1. Awareness and Cultural Diffusion EDI is committed to spreading digital culture and innovation among businesses, especially focusing on SMEs in sectors like tourism, commerce, logistics and transportation, professional services, advanced tertiary services, and business to consumer services. It conducts workshops, seminars, meetings, and conferences led by innovation experts. 2. Business Assessment EDI provides tools for self-assessment and expert evaluations of digital, technological, financial, and sustainability maturity. This includes analyzing the technologies adopted, management systems, financial and technical capabilities. The aim is to diagnose needs and guide businesses towards the most appropriate digital and innovative solutions, ranging from training to project design and digital services. 3. Training EDI provides modular training pathways on key themes of digital transformation, innovation, and enabling technologies. These training programs are tailored to the needs of target businesses and include video lessons, webinars, seminars, project work, and courses that cover a broad spectrum of topics from digital literacy to specialized technology use. EDI also conducts "Train-the-Trainer" activities to ensure the information and assistance provided to businesses are up-to-date and highly qualified. 4. Research &amp; Innovation Projects EDI participates in research and innovation projects with a special focus on digital transformation, key enabling technologies, and sustainability. It promotes projects at both national and international levels that facilitate business aggregations and partnerships, focusing on industrial research, experimental development, innovation, training, and technology transfer across a range of sectors. 5. Funding and Investment Search EDI assists businesses in accessing private, public, local, national, and European financial tools for investments in digital transformation. Additionally, EDI offers a catalog of project ideas to support SMEs innovation projects. 6. Specialized Consulting Through personalized support, EDI offers consultancy in adopting new digital and enabling technologies, drafting business plans and models, and supports businesses with acceleration services and business clinics. EDI's marketplace aggregates qualified technology partners to provide digital and innovative solutions, facilitating the match between supply and demand in innovation. 7. Networking and Ecosystems EDI fosters a network of collaborations and interactions among key stakeholders in the digitalization process, including SMEs, startups, entrepreneurs, competence centers, universities, research centers, technology parks, investors, and local authorities. This ecosystem facilitates the flow of information and resources among innovation actors and promotes the transfer of skills and knowledge, connecting networks across the national territory. 8. Open Innovation EDI organizes contests and challenges to stimulate competition of startups in generating innovative ideasfor traditional SMEs. It supports businesses in validating and prototyping innovative project ideas and products through scouting, testing, and mentorship activities. EDI actively engages in regional, national, and European policy initiatives aimed at digitizing the industry. At the EU level, EDI is involved in the Digital Europe Programme within the European Digital Innovation Hubs initiative to fostering digital innovation across Europe. It is also part of the network recognized by the National Enterprise 4.0 Plan and at national level it is acknowledged as the leader of EDI 5.0, a new Digital Innovation Hub funded by the Italian Ministry of Made in Italy. EDI has also been actively involved in the national government programme "Repubblica Digitale" through its programs SpintaDigitale and EDITraining, which focus on digital literacy and skills development. EDI through its local network collaborates also with regional partners to promote digital transformation at the territorial level, contributing significantly to the educational and skill development efforts of policy initiatives.</t>
  </si>
  <si>
    <t>Nicola Bianchi</t>
  </si>
  <si>
    <t>Piazza g.g. belli 2, 00153 Roma RM, Italy</t>
  </si>
  <si>
    <t>https://www.ediconfcommercio.it/en/edi-en/</t>
  </si>
  <si>
    <t>cultural and creative economy, financial, food and beverages, health care, maritime, personal services, retail, wholesale or distribution, travel and tourism, security, smart city, transport mobility</t>
  </si>
  <si>
    <t>finance, innovation management, knowledge transfer, prototyping, smart specialisation strategies, sme business development, sme support, technology transfer</t>
  </si>
  <si>
    <t>artificial intelligence decision support, big data, bi tools, cybersecurity, gamification, internet of things, internet services applications, virtual reality, robotics</t>
  </si>
  <si>
    <t>veNEto hUb foR Advanced digital technoLogies</t>
  </si>
  <si>
    <t>NEURAL is the EDIH designated candidate by the Italian Ministry of Economic Development for the Veneto region, one of the most competitive regions in Europe. It aims at facilitating the digital transformation process of the Veneto private companies and promoting the efficiency and effectiveness of the Public Administration (PA). It aims to become a partner to support step-by-step Veneto enterprises in their Digital Transformation Journey, planning on serving 900 entities in 3 years. It is focused on 2 DEP key technologies: AI and CS. It is specialised on the following digital enablers: Blockchain, IoT, Big Data Analytics, Advanced Robotics. In line with the DEP goals and the National and Regional policies, it will promote the uptake of AI Blockchain and CS solutions not only as efficiency tools but also as drivers of innovation and new business models. It is designed to act as one stop shop for Companies and PAs by offering a full set of innovation services to support digital and green transformation in different economic sectors. It deploys an interoperable services portfolio (developed on the basis of an analysis of the needs of SMEs, Mid-Caps and PAs carried out through specific market sector studies) organized into 4 categories: Test Before Invest, Advanced Upskilling, Access to Finance and Innovation Ecosystem and Networking. The proposition is completed by services of engagement and visioning and with the possibility to adapt to the market needs by designing new services in case of specific needs. The Consortium is made up of 17 beneficiaries and affiliates, including RTOs, business associations, a Compentece Center and a leading investment bank. The partners' high reputation guarantees project maturity, the provision of qualified services and access to the best infrastructures and facilities available on advanced digital technologies, as well as networking being strongly connected with National and EU ecosystem.</t>
  </si>
  <si>
    <t>Matteo Faggin</t>
  </si>
  <si>
    <t>Fondamenta s giobbe cannaregio 873, 30121 Venezia ve VE, Italy</t>
  </si>
  <si>
    <t>cultural and creative economy, food and beverages, manufacturing and processing, travel and tourism</t>
  </si>
  <si>
    <t>knowledge transfer, technological innovation, technology transfer, ecosystem building</t>
  </si>
  <si>
    <t>artificial intelligence decision support, blockchain and distributed ledger technology dlt, digital twins, internet of things</t>
  </si>
  <si>
    <t>Canary Islands Digital Innovation Hub</t>
  </si>
  <si>
    <t>The CIDIHIB is a partnership of organizations and competence centers specialized in business digitalisation, providing key infrastructure, resources and knowledge for the digital transformation of companies and public institutions. Although mainly operating in the Canary Islands region, the CIDIHUB also collaborates with entities located in other countries in and out of the European continent. The CIDIHUB pursues to accomplish the following objectives and priorities: 1. CIDIHUB will act as one-stop-shop and cornerstone mechanism for coordination of digitalisation and digital transformation in the regional industry (with special attention to SMEs) and public institutions, facilitating the development and uptake of digital technologies in a combined and complementary effort with other local stakeholders. 2. CIDIHUB will continuously upgrade and build capacities on the necessary infrastructure, expertise and resources to provide a complete and updated set of services aligned with the digital needs specially of startups, SMEs, mid-caps and public institutions in the Canary Islands, with a focus on green and blue transition. 3. CIDIHUB will engage and partake in the Network of European Digital Innovation Hubs to develop enhanced capacities in HPC, Artificial Intelligence, Cybersecurity, Advanced Digital Skills and accelerate the best use of digital technologies, not only limited to the Canary Islands ecosystem but also to other European regions under a collaborative, synergetic and win-to-win approach with other EDIHs. With a special focus on tourism, green&amp;blue economy and manufacturing sectors, the CIDIHUB will coordinate all its local high-level resources and capacities in order to deliver a number of digitalisation oriented services, as well as monitor impact on the target groups, categorized in the domains of test before invest, support to find investments, training and digital skills, and ecosystem, networking and entrepreneurship.</t>
  </si>
  <si>
    <t>Antonio Collado</t>
  </si>
  <si>
    <t>Calle Santiago Cuadrado, 30, 38006 Santa Cruz de Tenerife Santa Cruz de Tenerife, Spain</t>
  </si>
  <si>
    <t>http://www.cidihub.org</t>
  </si>
  <si>
    <t>cultural and creative economy, travel and tourism, maritime, manufacturing and processing, environment</t>
  </si>
  <si>
    <t>innovation management, finance, sme support, technology transfer</t>
  </si>
  <si>
    <t>artificial intelligence decision support, cybersecurity, high performance computing, data</t>
  </si>
  <si>
    <t>Mittelstand-Digital Zentrum Augsburg</t>
  </si>
  <si>
    <t>-- Wir unterstützen kleine und mittlere Unternehmen sowie das Handwerk mit kostenfreien Angeboten auf ihrem Weg in die Digitalisierung.</t>
  </si>
  <si>
    <t>Elisabeth Rung</t>
  </si>
  <si>
    <t>Vdma bayern, denninger str. 84, 81925 münchen, 81925 München, Germany</t>
  </si>
  <si>
    <t>https://digitalzentrum-augsburg.de/</t>
  </si>
  <si>
    <t>consumer products, education, financial, manufacturing and processing</t>
  </si>
  <si>
    <t>circular economy, finance, innovation management, knowledge transfer, technological innovation, technology transfer</t>
  </si>
  <si>
    <t>additive manufacturing, big data, blockchain and distributed ledger technology dlt, gamification, internet of things</t>
  </si>
  <si>
    <t>Slovak Artificial Intelligence Digital Innovation Hub</t>
  </si>
  <si>
    <t>The Slovak AI Digital Innovation Hub - SKAI-eDIH - is a nation-wide ecosystem coordinated by the Kempelen Institute of Intelligent Technologies in close collaboration with the Centre of Operations of the Slovak Academy of Sciences, Slovak Alliance for Innovation Economy and CIVITTA Slovakia. The hub has a clear focus on artificial intelligence fully aligned with Slovakia’s national strategy in this regard, 2030 Digital Transformation Strategy for Slovakia. SKAI-eDIH is dedicated to 3 main goals:
promotion of digital technologies related to artificial intelligence in all its aspects,
supporting the SMEs in access to private and EU funding necessary for adoption of all digital technologies, focusing specifically on SMEs in the regions, and
development of digital innovation ecosystem.
These companies can benefit from the application of advanced AI tools, Anomaly Detection, Deep Neural Networks, Ethic in AI assessment &amp; regulation, Low Resource NLP, Machine Learning with Limited Data, etc. Using the unique testing infrastructure devoted to accelerated testing environment, companies and public organizations are enabled to increase competitiveness and efficiency through optimization and automation of production processes, cloud services, predictive analytics, anomaly detection, text classification, malfunction prediction, disinformation detection or disease detection from multimodal data.
In terms of digital maturity, SKAI-eDIH supports both digital adopters and digital natives, systematically trying to mobilise Slovak companies in the regions to become AI adopters, engaging AI adopters to become AI natives and supporting AI natives with delivery and scaling up of transformative technologies.</t>
  </si>
  <si>
    <t>Matej Maderič</t>
  </si>
  <si>
    <t>Bottova 7939/2A, 811 09 Bratislava, Slovakia</t>
  </si>
  <si>
    <t>https://www.hopero.sk/</t>
  </si>
  <si>
    <t>consumer products, cultural and creative economy, education, electricity, energy, environment, financial, health care, life sciences, manufacturing and processing, personal services, public administration, retail, wholesale or distribution, security, smart city, telecommunications, transport mobility, transport sector</t>
  </si>
  <si>
    <t>circular economy, ecosystem building, finance, field trial, innovation management, knowledge transfer, prototyping, public sector innovation, sme business development, sme support, technological innovation, technology transfer, vocational training</t>
  </si>
  <si>
    <t>artificial intelligence decision support, big data, cloud services, digital twins, gamification, high performance computing, internet services applications, mobility, simulation engineering and modelling, software architectures</t>
  </si>
  <si>
    <t>Technopark Kielce DIH</t>
  </si>
  <si>
    <t>Based on researching the needs of companies in the Świetokrzyskie Voivodeship, and desk research of the main indicators and rankings at the national and international level concerning the position of the region, it was decided that the hub offering the scope of support services for regional companies boosting digitalization processes is needed. That is why the concept of the Technopark Kielce DIH (TKDIH) as a regional hub appeared and was developed during the last few years by the non-formal consortium. Finally, the created TKDIH is a partnership of various stakeholders: innovation center, technology university, industry foundation, venture capital, the association of entrepreneurs, chamber of commerce with EEN, and know-how providers in leading digital technologies. All activities of TKDIH are supported by the wide network of technoparks, and EDIHs, clusters. The target group is companies from industries compliant with the specializations of the Regional Innovation Strategy, and services focus on two types of customers SMEs where digitization involves the implementation of process improvement within the company and SMEs where digitization involves launching a new solution on the market. The created ecosystem by providing access to free of charge, on an open, transparent, and non-discriminatory basis 980 services in Key Enabling Technologies, offered in 4 areas: Support to find investment, Skills and trainings, Test before invest, Innovation ecosystem and networking will support at least 171 SMEs within 3 years, and in the long run will accelerate the digital transformation of the Świętokrzyskie region, increase the level of resilience of companies to the risks associated with unforeseen random, increase the level of energy efficiency and achieve tangible benefits for citizens related to the main challenges addressed by the Digital transition programme, Ecological transition, Health resilience, Economic resilience, and recovery.</t>
  </si>
  <si>
    <t>Ewelina Piotrowska</t>
  </si>
  <si>
    <t>Olszewskiego 6, 25-663 Kielce, Poland</t>
  </si>
  <si>
    <t>https://dih.technopark.kielce.pl/</t>
  </si>
  <si>
    <t>consumer products, financial, personal services</t>
  </si>
  <si>
    <t>ecosystem building, finance, knowledge transfer, prototyping, regional development, sme business development, sme support, technological innovation, technology transfer</t>
  </si>
  <si>
    <t>artificial intelligence decision support, big data, blockchain and distributed ledger technology dlt, cloud services, communication network, cybersecurity, internet of things, internet services applications, high performance computing, laserbased manufacturing and materials processing, sensors vision processing systems</t>
  </si>
  <si>
    <t>AddSmart - The European Digital Innovation Hub of North Denmark</t>
  </si>
  <si>
    <t>Add Smart technologies and get ahead “To add” means to bring about an increase or improvement, to come together or unite by addition. By adding Smart solutions and digital technologies, SMEs can increase and improve to the benefit of not only the company itself but society as a whole and by coming together and unite by addition. Mission: The main goal of AddSmart is to increase the productivity of industrial enterprises and production companies through I4.0 by introducing Smart Production.
AddSmart wants to support small and medium sized manufacturing SMEs on their journey to become more digitalised for them to become resilient and gain a competitive edge. Vision: The vision is to create one point of entrance with easy access to shared knowledge and resources about developments within production technologies based on digital technologies at all levels. This proposal covers the NUTS2 Region of NorthDenmark and is one of 5 appointed Danish candidates for the coming network of European Digital Innovation Hubs. The focus of this proposal is to deliver services to manufacturing SMEs within the fields of I4.0 with the general objective of developing capacities in HPC, AI, Cybersecurity, Advanced Digital Skills and accelerating the best use of technologies for this target group.
Budget: 3,12 M€: 1,088 M from DIGITAL, 0,946 M€ from the member state and 1,088 M€ of private/own funding. The AddSmart consortium consists of 8 partners: 1 regional business hub, 3 academic partners, 1 RTO, 2 clusters and Enterprise Europe Network, which will contribute to the overall KPIs of EDIHs with KPI 1: 200 SMEs will make use of 1 or more AddSmart services within the project period. KPI 2: The service portfolio of AddSmart is expecting to trigger additional investments in the size of 36,5 M€ KPI 3: AddSmart will collaborate with at least 26 other EDIHs and stakeholders KPI 4: 105 SMEs will have increased their maturity level KPI 5: 30 SMEs will have developed new innovations.
 </t>
  </si>
  <si>
    <t>Johannes Størup</t>
  </si>
  <si>
    <t>Niels Jernes Vej 10, 9220 Aalborg, Denmark</t>
  </si>
  <si>
    <t>consumer products, construction assembly, manufacturing and processing, maritime</t>
  </si>
  <si>
    <t>sme support, technology transfer, technological innovation, sme business development</t>
  </si>
  <si>
    <t>big data, digital twins, artificial intelligence decision support, robotics, internet of things</t>
  </si>
  <si>
    <t>AI EDIH Türkiye: AI-Enabled Manufacturing for Twin Transition</t>
  </si>
  <si>
    <t>Acknowledging the low levels of digitalization among Turkish SMEs, particularly in high-tech industries, AI EDIH Türkiye is dedicated to accelerating their digital transformation journey by leveraging Artificial Intelligence (AI) and High-Performance Computing (HPC).
To achieve this mission, AI EDIH Türkiye focuses on establishing a comprehensive One-Stop-Shop for European Digital Innovation Hub (EDIH) services. This initiative promotes collaboration for testing and prototyping, delivers tailored training programs, fosters an innovation ecosystem, facilitates SMEs' access to funding, and enhances the visibility of EDIH offerings.
AI EDIH Türkiye provides four core value propositions:
Test Before Invest Services: Offering state-of-the-art infrastructure for testing and prototyping, AI EDIH Türkiye conducts maturity assessments in AI, digitalization, sustainability, and automation. It also delivers technical consultancy, including AI use case development, implementation, machine learning, robotics, and software analytics.
Training and Upskilling Services: Tailored training programs focus on AI, digitalization, sustainability, innovation, R&amp;D, and essential soft skills to enhance workforce capabilities.
Innovation Ecosystem and Networking: Facilitating market intelligence services, B2B matchmaking events, and acceleration programs to nurture a collaborative and innovative environment for SMEs.
Access to Finance Services: Supporting SMEs through investor meetings, informative sessions on funding programs, and customized financial mechanisms designed for EDIH clients.
This comprehensive service portfolio underscores AI EDIH Türkiye's commitment to driving digitalization in Turkish manufacturing SMEs, ultimately contributing to national economic growth and competitiveness.</t>
  </si>
  <si>
    <t>Hande Bayrak</t>
  </si>
  <si>
    <t>Barbaros Mah. Sarkaç Sok. Ataşehir, 34746 İstanbul, Türkiye</t>
  </si>
  <si>
    <t>http://www.aiedihturkiye.org/</t>
  </si>
  <si>
    <t>automotive, construction assembly, education, electricity, energy, energy, fuels and petroleum engineering, environment, food and beverages, health care, manufacturing and processing, metal working and industrial production, mining and extraction, nmp nonmetallic materials basic processes, polymers and plastics, smart city, telecommunications, textiles, transport mobility, transport sector</t>
  </si>
  <si>
    <t>additive manufacturing, artificial intelligence decision support, bi tools, big data, cloud services, communication network, digital twins, displays, gamification, high performance computing, human computer interaction, internet of things, internet services applications, laserbased manufacturing and materials processing,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</si>
  <si>
    <t>CentralUkrainianEDIH - Innovations, energy efficiency and digital transformation for the development of sustainable and industrial regions of central Ukraine</t>
  </si>
  <si>
    <t>Our CentralUkrainianEDIH was created to fulfill the goals of the Digital Europe Programme and will contribute to the implementation of the strategic goals set out in the National Economic Strategy until 2030. The main objective of the CentralUkrainianEDIH is to stimulate digital and green transformation, innovation and energy efficiency for the development of sustainable industrial regions of central regions of Ukraine. To achieve this goal, we have established the CentralUkrainianEDIH, which consists of Institute of Physics of the National Academy of Sciences of Ukraine, Dnipro University of Technology, National University "Yuri Kondratyuk Poltava Polytechnic", Ukrainian Chamber of Commerce and Industry, Ukrainian Automotive and Mobility Cluster, IT Dnipro Community and two associated partners – Ministry of Energy of Ukraine and COMPARUS UA. We aim to facilitate and support the digital and innovative development of these regions in the use of: high-performance computing; artificial intelligence; cyber security; high-level digital skills that will help local private, especially SMEs, and public sectors realize their digital and green transformation.</t>
  </si>
  <si>
    <t>Olena Fesenko</t>
  </si>
  <si>
    <t>Prospect Nauky 46,, Kyiv, 03028, Ukraine</t>
  </si>
  <si>
    <t>https://www.ukraine-edih.com/</t>
  </si>
  <si>
    <t>automotive, education, energy, energy, fuels and petroleum engineering, financial, legal aspects, manufacturing and processing, personal services, smart city, transport mobility</t>
  </si>
  <si>
    <t>knowledge transfer, public sector innovation, regional development, sme business development, sme support, technological innovation, technology transfer, vocational training</t>
  </si>
  <si>
    <t>additive manufacturing, artificial intelligence decision support, communication network, digital twins, laserbased manufacturing and materials processing, micro and nanoelectronics, optoelectronics, photonics, quantum technologies computingcommunication, semiconductors and nanotechnology, sensors vision processing systems, simulation engineering and modelling</t>
  </si>
  <si>
    <t>Digital Impulse Hub, Digital Made Easy in Catalonia</t>
  </si>
  <si>
    <t>Digital Transformation is not only about technology, is also about building the capacities, the support ecosystem , the green and ethical framework that allow end users: SMEs, small Midcaps and Municipalities the adoption of technology. In Catalonia there are state of the art infrastructures and digital technologies, but the adoption of digital innovation is still slow and difficult, especially in the fields or AI, Big Data, Cybersecurity, HPC, Cloud, VR and AR and also in the international e-commerce and e-business e-intelligence, among other Digital technologies. Digital Impulse Hub is gathering in its consortium, the triple Helix players, to achieve its purpose: to foster, speed and secure the Digital Transformation of their target groups: SMEs and small Midcaps and Local Public Administration (Municipalities). A special sectorial focus on manufacturing, e-commerce, digital international business, Edtech and New Digital Media as well as supporting Digital Start ups and Deep Tech start ups is making Digital Impulse Hub the right instrument, for Digital Transformation, Innovation market readiness, that is ethical, inclusive and green. Partners: Coordinator CCITerrassa Politechnic University of Catalonia, CITM- Fundació Politecnica de Catalunya, Open University of Catalonia, 100 % online University (UOC), General Council of Chambers of Catalonia (Including the 13 Catalan Chambers of Commerce, Industry and Services- Afiiliated CCIB), Localret (representing 850 Catalan Municipalities, almost all), and Three City Councils with Flagship projects in the field of Digital Start ups, Industry 4.0 and New Digital Media (St. Cugat, Rubi and Terrassa City Councils-PAC). The project will reach all companies in Catalonia Region through the Chambers company Census and communication databases 675.000, 854 Municipalities through Localret Databases and will provide seamless service with EEN and Clusters (Comertia, Edutec and Cluster Audiovisual).</t>
  </si>
  <si>
    <t>Alba Cabeza</t>
  </si>
  <si>
    <t>Blasco de Garay, 29-49, 08224 Terrassa Barcelona, Spain</t>
  </si>
  <si>
    <t>http://digitalimpulsehub.eu/en</t>
  </si>
  <si>
    <t>automotive, consumer products, cultural and creative economy, education, energy, environment, financial, food and beverages, health care, manufacturing and processing, metal working and industrial production, personal services, public administration, real estate, retail, wholesale or distribution, smart city, telecommunications, textiles, transport mobility, transport sector, travel and tourism</t>
  </si>
  <si>
    <t>circular economy, ecosystem building, field trial, finance, innovation management, knowledge transfer, innovation management, prototyping, public sector innovation, regional development, smart specialisation strategies, sme business development, sme support, technological innovation, technology transfer, vocational training</t>
  </si>
  <si>
    <t>artificial intelligence decision support, sensors vision processing systems, big data, blockchain and distributed ledger technology dlt, cybersecurity, cloud services, communication network, digital twins, gamification, high performance computing, industrial biotechnology, internet of things, internet services applications, new technologies for audiovisual sector media, internet services applications, locationbased applications, logistics, mobility, photonics, robotics, semiconductors and nanotechnology, simulation engineering and modelling, software architectures, virtual reality</t>
  </si>
  <si>
    <t>Networking for Technological-Stop European Digital Innovation Hubs</t>
  </si>
  <si>
    <t>Tech-Stop EDIH aims to accelerate the digital transformation of Machinery, Automotive sector SMEs, mid-caps, and the public sector organizations in the Eastern Marmara region (covering 13 provinces) and boost digital innovation by providing 4 technology-oriented services: 
testing-before-investing, 
training and skills development, 
access to finance, and 
networking and access to innovation ecosystems
Across 4 key technological domains: 
Artificial Intelligence,
Big Data, Data Analytics, Data Processing, 
Virtual Reality / Augmented Reality, and 
Simulation, Modelling, and Digital Twin, with a specific focus on AI (Artificial Intelligence)</t>
  </si>
  <si>
    <t>Mrs. Aynur Hacıfettahoğlu</t>
  </si>
  <si>
    <t>Karabaş Mah. Sanayi Fuarı 2. Cad. No:4, 41040 Kocaeli, Kocaeli, Türkiye</t>
  </si>
  <si>
    <t>http://www.kosano.org.tr/</t>
  </si>
  <si>
    <t>automotive, manufacturing and processing, public administration</t>
  </si>
  <si>
    <t>public sector innovation</t>
  </si>
  <si>
    <t>artificial intelligence decision support, big data, digital twins, simulation engineering and modelling, virtual reality</t>
  </si>
  <si>
    <t>EDIH Ostrava</t>
  </si>
  <si>
    <t>The project of the European Digital Innovation Hub Ostrava (EDIH Ostrava) is designed to accelerate the digitalisation of companies and public organizations in the region and at the same time to offer an attractive opportunity to use the unique interconnection of digital infrastructure and know-how to interested companies, especially small and medium-sized enterprises in the EU. The technological specialization of EDIH Ostrava is tied to the core facility of High-Performance Computing (HPC), complemented by an experimental industrial testbed. These capacities will be primarily aimed at testing and experimentation of challenging tasks for cases in sectors related to the implementation of the Industry 4.0 concept. This "technological" DNA of EDIH Ostrava is further naturally determined by the industrial character of the Moravian-Silesian Region (MSR), where EDIH Ostrava will mainly operate. The project includes a comprehensive offer of individual services and other activities in line with the required functions of the European Digital Innovation Hub. The aim is to cover a wide range of stakeholders with regard to their level of digital readiness, from entities not yet determined to exploit the potential of digitalisation to entities ready to use the most advanced digital techniques and state-of-the-art research infrastructure, including HPC. Implementation of EDIH Ostrava will provide a significant upgrade the activities that this hub has been gradually developing for several years. An ambition of EDIH Ostrava is to become an inspirational and useful hub within the networks to which EDIH Ostrava is or will be linked. This ambition builds on the existing activities of both members of the consortium and their role within the regional, national, and European innovation ecosystem and is reflected, among others, in the expected share of clients outside the MSR region.</t>
  </si>
  <si>
    <t>Martin Duda</t>
  </si>
  <si>
    <t>17. listopadu 2172/15, 708 00 Ostrava, Czechia</t>
  </si>
  <si>
    <t>automotive, manufacturing and processing, energy, environment, health care, life sciences, consumer products, metal working and industrial production, polymers and plastics, public administration, space, transport mobility</t>
  </si>
  <si>
    <t>ecosystem building, finance, knowledge transfer, public sector innovation, regional development, smart specialisation strategies, sme business development, sme support, technological innovation, technology transfer</t>
  </si>
  <si>
    <t>high performance computing, quantum technologies computingcommunication, artificial intelligence decision support, big data, simulation engineering and modelling, digital twins, mobility, robotics, chemical engineering plants, products, virtual reality</t>
  </si>
  <si>
    <t>European Digital Innovation Hub Rheinland</t>
  </si>
  <si>
    <t>EDIH Rheinland is located in the Rhineland in Germany - a metropolitan area along the middle and lower rhine including 10 independent cities and 13 districts, with the city of Aachen and its university and partners as a center point for the EDIH’s activities. The EDIH Rheinland consortium consists of 14 entities (RWTH Aachen University chairs, research institutes and non-profit associations as well as public administrations), which have the vision to advance the digital development and economic strengthening of their region by enabling the usage of research-relevant and future-oriented competencies and technologies.The goal of the EDIH Rheinland is to provide businesses and public administrations with access to digitalization solutions with a focus on Digital Skills, High Performance Computing (HPC) and Artificial Intelligence (AI). As the Rhineland area is home to many small and medium-sized enterprises (SMEs), there is a special focus on these companies in order to strengthen the local economy. In addition, the geographic location in the tripoint of Germany, Belgium and the Netherlands offers numerous opportunities for networking and cooperation beyond the national borders.The consortium partners of RWTH Aachen University, FIR e. V. at RWTH Aachen University, the Fraunhofer-Gesellschaft e. V., digitalHUB Aachen e. V., RWTH Innovation GmbH, REGINA e. V. and the City of Aachen are responsible for the content and implementation of the services. All partners share expertise in research and implementation in their respective fields of Digital Skills, HPC and AI. The partners provide their infrastructure and access to their network of regional, national and European initiatives and projects, e.g. the Cluster of Excellence Internet of Production at the regional level, the Mittelstand Digital Zentrum Rheinland at state level and the Digital Innovation Hub TETRAMAX at a trans-European level.</t>
  </si>
  <si>
    <t>Ole Stocks</t>
  </si>
  <si>
    <t>Templergraben 55, 52062 Aachen, Germany</t>
  </si>
  <si>
    <t>automotive, environment, health care, manufacturing and processing, metal working and industrial production, public administration</t>
  </si>
  <si>
    <t>circular economy, innovation management, public sector innovation, sme business development, sme support, technological innovation, technology transfer</t>
  </si>
  <si>
    <t>artificial intelligence decision support, high performance computing, big data, cyberphysical systems, digital twins, internet of things, logistics, simulation engineering and modelling, cybersecurity</t>
  </si>
  <si>
    <t>European Digital Innovation Hub Suedwest</t>
  </si>
  <si>
    <t>In recent years innovation in products and services is to an increasing extent based on digitalisation which enables enhanced or new functionalities. A key question is “How to optimise the transformation of this potential?” Especially SMEs need an easy access to technologies and capabilities enabling the digital transformation. Here EDIH Südwest helps by pooling different offers in a one-stop-shop, concentrating on the region but also sharing services across borders. EDIH Südwest focuses on three prevailing industrial sectors in South-West Germany: automotive, health and manufacturing. A technological focus is set on “smart sensor systems powered by edge AI”, offering a variety of application opportunities in all three sectors. Another focus is on resilience. These foci will be assessed and adapted, if necessary, throughout the project lifetime. To maximise impact, the services in the four action fields, “training &amp; skills”, “test before invest”, “support to find investments” and “innovation ecosystem”, are specifically tailored towards three distinct groups of clients, “founders, start-ups and spin-offs”, “SMEs, small midcaps and the public sector” and “individuals”, the latter including pupils, students, employees and executives. EDIH Südwest has set up two orthogonal corridors for collaboration with other EDIHs. One in the field of a specific set of hard- and software technologies (Smart Systems) while the other one addresses the automotive area. 13 partners build a strong consortium, ensuring a well-balanced coverage, both geographically as well as across technologies and services. This core consortium is accompanied by further 11 parties who are also very active in the region. The EDIH Suedwest tightens collaboration by bringing partners closer together to catalyse digitalisation in the region and at the same time trigger exchange and cooperation with other European regions.</t>
  </si>
  <si>
    <t>Sven Spieth</t>
  </si>
  <si>
    <t>Wilhelm-Schickard-Strasse 10, 78052 Villingen-Schwenningen, Germany</t>
  </si>
  <si>
    <t>https://www.edih-suedwest.de</t>
  </si>
  <si>
    <t>automotive, health care, manufacturing and processing, public administration</t>
  </si>
  <si>
    <t>ecosystem building, field trial, finance, innovation management, knowledge transfer, prototyping, public sector innovation, regional development, sme support, technological innovation, technology transfer</t>
  </si>
  <si>
    <t>artificial intelligence decision support, cyberphysical systems, cybersecurity, high performance computing, internet of things, micro and nanoelectronics, optoelectronics, sensors vision processing systems, virtual reality</t>
  </si>
  <si>
    <t>EDIH SILESIA SMART SYSTEMS capacity building and deployment in the EDIH network to enhance digital transformation in the Silesia and Opolskie Voivodships in Poland</t>
  </si>
  <si>
    <t>The Regional Digital Innovation Hub Silesia Smart Systems (EDIH-SILESIA) is a coordinated group of entities with complementary expertise and a not-for-profit objective to support the digital transformation of companies and public sector organisations in the Silesia and Opolskie Voivodships in Poland. EDIH-SILESIA is operating since September 2020 and is specialised in: (1) artificial intelligence (including systems for robotisation and automation), (2) cyber security and (3) additive manufacturing. The EDIH-SILESIA project consortium counts eight organisations with specific infrastructure and expertise in testing and demonstrating new solutions, skills development, networking and innovation support services focussing on business growth, digital and green transformation and identification of financing for investments. EDIH-SILESIA shall closely cooperate with other EDIHs in Poland and Europe, with DTA and EEN, as such will act as an access point to the European network of EDIHs and create synergies with EEN. As a result of the project, EDIH-SILESIA shall gain new competencies, strengthen its position in the EDIH-network and have been supporting over 150 companies (testing-before-investing, advice, skill development) in preparing for and providing digital transformation.</t>
  </si>
  <si>
    <t>Aleksandra Zajusz-Wayda</t>
  </si>
  <si>
    <t>Wojewodzka 42, 40-026 Katowice, Poland</t>
  </si>
  <si>
    <t>https://www.silesiasmartsystems.pl/</t>
  </si>
  <si>
    <t>automotive, construction assembly, environment, health care, polymers and plastics, security</t>
  </si>
  <si>
    <t>ecosystem building, finance, sme support, technological innovation, prototyping, regional development, sme business development, innovation management</t>
  </si>
  <si>
    <t>additive manufacturing, simulation engineering and modelling, digital twins, big data, cyberphysical systems, cybersecurity, internet of things, artificial intelligence decision support, robotics, communication network, sensors vision processing systems, cloud services, blockchain and distributed ledger technology dlt, virtual reality, laserbased manufacturing and materials processing, chemical engineering plants, products, internet services applications</t>
  </si>
  <si>
    <t>European Digital Innovation Hub South Netherlands</t>
  </si>
  <si>
    <t>Investment in an EDIH in the South of the Netherlands (EDIH-SNL) is necessary to accelerate digitalization of SMEs. Main objective of EDIH-SNL is to contribute to the digital transformation of the manufacturing and maintenance SMEs. Beside supporting individual SMEs, EDIH-SNL will support the digitalization of their supply chains. In 3 years’ time EDIH-SNL will upscale its services to increase the digital maturity of SMEs, by helping them to develop capacities in HPC, AI, Cybersecurity, and Advanced Digital Skills, to the level of annually 5.000 SMEs informed, 500 SMEs inspired, and 250 SMEs activated. EDIH-SNL covers the entire South Netherlands, but has a physical location with physical infrastructure in the Brainport Industries Campus, with co-locations in the regions. EDIH-SNL has over 25 well-equipped Business Developers operating in the field to visit and help individual SMEs. They offer services for taking steps towards knowledge, facilities and European partners for further digitalization. To enable Dutch and EU SMEs to cross-border benefit from available expertise, EDIH-SNL will actively make use of and contribute to the European EDIH network and EU supported initiatives such as the Digital Transformation Accelerator and the Enterprise Europe Network. The EDIH-SNL consortium exists of regional development organizations, industry associations and knowledge institutions, ensuring an excellent complementarity on knowledge, skills, networks and geographical work areas. Most consortium partners are already collaborating in the Smart Industry Hub South (DIH since 2019), with on its track record a.o. Data Value Centre, FOKUS (Interreg project), Circular Economy, Smart Connected Supplier Network, and involvement in and support to the 14 southern Smart Industry field labs. The ambitions, services and infrastructure of the consortium are in line with the long term policies, objectives and key capacity areas of the European, national and regional governments.</t>
  </si>
  <si>
    <t>Bert van Gestel</t>
  </si>
  <si>
    <t>Goirlese weg 15, 5026 PB Tilburg, Netherlands</t>
  </si>
  <si>
    <t>https://www.klikopmorgen.nl</t>
  </si>
  <si>
    <t>automotive, consumer products, manufacturing and processing, metal working and industrial production, construction assembly, food and beverages, defence, nmp nonmetallic materials basic processes</t>
  </si>
  <si>
    <t>sme support, knowledge transfer, technology transfer, field trial, finance, vocational training</t>
  </si>
  <si>
    <t>big data, additive manufacturing, artificial intelligence decision support, digital twins, internet of things, robotics, sensors vision processing systems, virtual reality, communication network, human computer interaction, simulation engineering and modelling</t>
  </si>
  <si>
    <t>EXtended Piedmont and Aosta valley Network for Digitalization</t>
  </si>
  <si>
    <t>EXPAND aims to become one of the recognized European hubs able to provide digital evolutionary services such as testing before investing, training and skills development, support to find investments, networking and access to innovation ecosystems, according to the DIGITAL-2021-EDIH-01 call expectation. The project targets the digital transformation needs of Companies and Public Authorities in the Piemonte and Valle d’Aosta (VdA) area. The proposal is strongly focused on the specific topics of Artificial Intelligence (AI), Cyber-security (CS), notwithstanding - due to the nature of the consortium - all the ICT panoramas can be covered and integrated, with regard on other key enabling technologies like advanced robotics, extended reality, internet of things, additive manufacturing, next generation network, distributed intelligence, and many other. Within the project a list of 50 services was drawn up, organized by categories, daily cost and duration: the EXPAND strategy is to provide some free of charge services (all for PA, some for the enterprises) and a sub-set of services via a clearly defined final cost: the rationale behind this is to guarantee the full commitment of the entities requiring support. The project is open to all the companies with a focus on the manufacturing and industrial ecosystem, paying particular attention to those who develop or deploy technologies with a positive impact, directly or indirectly, on the environment and sustainability. The filtering of requests will take place thorough an open, transparent, and non-discriminatory mechanism, creating a selection funnel: initially will reach the maximum potentially interested audience and then will start the vis-à-vis discussion and actuhe EXPAND (EXtended Piedmont and Aosta valley Network for Digitalization) is the application of the Piedmont - Valle d’Aosta cluster to the selection for one of the node of the forthcoming EDIH European network in the context of the Digital Europe Program.</t>
  </si>
  <si>
    <t>Paolo Brizzi</t>
  </si>
  <si>
    <t>Corso luigi settembrini 178, 10135 Torino TO, Italy</t>
  </si>
  <si>
    <t>https://expand-edih.com/</t>
  </si>
  <si>
    <t>automotive, space, manufacturing and processing, public administration, smart city, transport mobility, energy, environment, textiles, food and beverages, health care</t>
  </si>
  <si>
    <t>vocational training, knowledge transfer, technology transfer, prototyping, field trial, finance, ecosystem building, regional development, smart specialisation strategies, sme support, public sector innovation</t>
  </si>
  <si>
    <t>artificial intelligence decision support, cybersecurity, additive manufacturing, internet of things, cloud services, big data, human computer interaction, sensors vision processing systems, virtual reality, robotics</t>
  </si>
  <si>
    <t>Expanding Digitalisation of Industry (4.0) in Slovakia</t>
  </si>
  <si>
    <t>Slovakia urgently needs new impulses to re-establish its competitiveness in digital age. EXPANDI 4.0 shall support companies, regional and national institutions and policy makers - in finding the adequate technological solutions for implementation of I4.0. We share a vision of raising the level of industry digitalisation in Slovakia. Besides understanding the underlying technologies such as IoT, Big Data, AR/VR, AI, ML, sensor systems, robotics, additive manufacturing, predictive smart maintenance, etc. from numerous implementations done by partners of EXPANDI, we gained extensive experience in supporting companies in implementation projects, preceded by proving their concepts in test environments and boosting innovations by various measures. The digitalisation projects must be driven by clear objectives to increase their competitiveveness. A dedicated group of sales-experts will establish leads and follow-up contacts with companies and public entities to offer them services of our EDIH and reach the targeted numbers of supported entities. We will provide them with digital proof that the concepts fit their expectations and help them to find the necessary financing. We shall assist with education of key company staff and we shall help the whole ecosystem to grow. The provided services will focus on 4 main pillars: Trest before invest -Skills and Education -Support in Finding Investments -Ecosystem and Training EXPANDI 4.0 shall use the financial support of EU and national resources, the tools and measures provided by Digital Technology Accelerator (DTA) and the collective knowledge within EDIHs network to help numerous Slovak companies: - to stay globally competitive, resilient and environmentally sustainable; - to develop competitive manufacturing skills of digital age; - to become part of a powerful innovation ecosystem.</t>
  </si>
  <si>
    <t>Bc. Dominika Vlčeková</t>
  </si>
  <si>
    <t>Bajkalska 27, 827 99 Bratislava, Slovakia</t>
  </si>
  <si>
    <t>http://www.expandi40.sk</t>
  </si>
  <si>
    <t>automotive, defence, polymers and plastics, manufacturing and processing, metal working and industrial production, nmp nonmetallic materials basic processes</t>
  </si>
  <si>
    <t>vocational training, finance, prototyping, technological innovation, sme support, public sector innovation</t>
  </si>
  <si>
    <t>simulation engineering and modelling, additive manufacturing, artificial intelligence decision support, big data, blockchain and distributed ledger technology dlt, cloud services, communication network, cyberphysical systems, cybersecurity, digital twins, human computer interaction, internet of things, laserbased manufacturing and materials processing, logistics, robotics, sensors vision processing systems</t>
  </si>
  <si>
    <t>GreenPowerIT Hauts-de-France</t>
  </si>
  <si>
    <t>COVID-19, together with the energy and environmental challenges, have underlined the necessity of more resilience and European sovereignty. The answer to these challenges cannot be dissociated from the digital transition. The EDIH GreenPowerIT gathers the key partners fostering the development of digital solution in the Hauts-de-France region. It will support both SMEs and public administrations and address their needs related to AI and cybersecurity and IoT, in line with current regional initiatives. The overarching goal of the project is therefore to set the EDIH in the Haut-de-France region as a unique entry point for businesses and local authorities towards their digital transformation, putting the emphasis on “digital green transition”. GreenPowerIT high-end services will be based on four services pillars: test Before Invest, Training, Access to finance, and networking, building on and completing the regional existing offer. It will also be fully integrated in the European network of EDIH, thus supporting its local stakeholders to go international and allowing European stakeholders to benefit from its services. In fact, the consortium has already signed agreements’ letters with other future EDIH (see annexes).</t>
  </si>
  <si>
    <t>Chékib Gharbi</t>
  </si>
  <si>
    <t>172 avenue de Bretagne, 59000 Lille, France</t>
  </si>
  <si>
    <t>automotive, education, communityled local development, energy, environment, manufacturing and processing, personal services, public administration, health care, smart city, retail, wholesale or distribution, transport sector, transport mobility, travel and tourism, textiles</t>
  </si>
  <si>
    <t>ecosystem building, innovation management, knowledge transfer, prototyping, finance, circular economy, sme support, public sector innovation, regional development, technological innovation, technology transfer, vocational training</t>
  </si>
  <si>
    <t>artificial intelligence decision support, additive manufacturing, communication network, cybersecurity, digital twins, high performance computing, human computer interaction, internet of things, internet services applications, micro and nanoelectronics, optoelectronics, mobility, robotics, software architectures, sensors vision processing systems, big data, cyberphysical systems, quantum technologies computingcommunication</t>
  </si>
  <si>
    <t>Mittelstand-Digital Zentrum Zukunftskultur</t>
  </si>
  <si>
    <t>The Mittelstand-Digital Zentrum Zukunftskultur supports small and medium-sized enterprises throughout Germany and across all sectors in the two major transformations of "digitalization" and "sustainable development". Our aim is to empower SMEs to develop a sustainable corporate culture. Key topics here are change, communication and sustainability. Through our events, media formats, practical projects and networking with other companies, we provide SMEs with impetus and know-how. You can find all information on our topics and services on our website: https://www.digitalzentrum-zukunftskultur.de Our center is part of the Mittelstand-Digital initiative of the Federal Ministry of Economics and Climate Protection (BMWK).</t>
  </si>
  <si>
    <t>Juliane Damian</t>
  </si>
  <si>
    <t>C/o unicorn workspaces, am neuen markt 9 e-f, 14467 Potsdam, Germany</t>
  </si>
  <si>
    <t>https://www.digitalzentrum-zukunftskultur.de/</t>
  </si>
  <si>
    <t>automotive, cultural and creative economy, education, health care, personal services</t>
  </si>
  <si>
    <t>innovation management, knowledge transfer, sme business development, sme support, technological innovation</t>
  </si>
  <si>
    <t>artificial intelligence decision support, cybersecurity, virtual reality</t>
  </si>
  <si>
    <t>Mittelstand-Digital Zentrum Fokus Mensch</t>
  </si>
  <si>
    <t>The Mittelstand-Digital Zentrum Fokus Mensch, which can be translated as a SME Digital Centre with the name "Focus on Humans", supports SMEs in identifying the expectations of their users, consumers and corporate customers, rethinking their own product strategy, finding suitable cooperation partners and trying out and establishing the methods and approaches of human-centred digitalisation in their own company in order to position themselves sustainably. This is done along six main topics: Human-centred innovation and design Fairness and diversity Wellbeing and resilience Digital sovereignty Sustainable transformation Artificial intelligence Our goal is supporting SMEs in human-centred digitalisation. The aim is to sensitise and qualify companies for the potential and procedures of human-centricity. To this end, we offer workshops, practical projects and self-learning opportunities to support companies in implementing human-centred approaches. We also focus on networking companies and sharing experiences in order to accelerate the spread of positive experiences and promote sustainable transformation in SMEs. Fokus Mensch is part of the network "Mittelstand Digital Zentren" which is a national programme in Germany: Mittelstand-Digital offers guidance for small and medium-sized enterprises and the skilled crafts as they embrace the digital transformation, and informs them about the opportunities and challenges of digitisation. The Federal Ministry for Economic Affairs and Climate Action makes it possible for all of these services to be rendered free of charge. Mittelstand-Digital Innovation Hubs are part of the nationwide Mittelstand-Digital network The Hubs in the nationwide network support small and medium-sized enterprises and the skilled crafts throughout Germany on an impartial basis by providing: Expert knowledge, workshops and training sessions, demonstration centers, discussion, networking and information events, practial examples on the topic of digitalization. The AI instructors based at the Hubs also offer special support on all issues relating to the use of artificial intelligence – for beginners through to experienced users. Keywords: Research</t>
  </si>
  <si>
    <t>Magdalena Laib And Michael Burmester</t>
  </si>
  <si>
    <t>Nobelstr. 10, 70569 Stuttgart, Germany</t>
  </si>
  <si>
    <t>https://www.digitalzentrum-fokus-mensch.de/</t>
  </si>
  <si>
    <t>automotive, construction assembly, consumer products, education, environment, health care, manufacturing and processing, personal services, public administration, transport sector, travel and tourism, smart city, transport mobility</t>
  </si>
  <si>
    <t>innovation management, knowledge transfer, prototyping, sme business development, sme support, technological innovation</t>
  </si>
  <si>
    <t>artificial intelligence decision support, big data, cyberphysical systems, digital twins, displays, gamification, human computer interaction, internet of things, internet services applications, locationbased applications, new technologies for audiovisual sector media, virtual reality, robotics, sensors vision processing systems</t>
  </si>
  <si>
    <t>Mittelstand-Digital Zentrum Smarte Kreislaeufe</t>
  </si>
  <si>
    <t>The Mittelstand-Digital Center Smart Circular Economy prepares you for the future and provides you with cross-industry assistance on the following topics: Sustainability | Circular economy - What technologies are available for the circular economy? - Which verification obligations can be supported by data-based assistance systems support? Change management | Data economy - How do I recognize trends and what tools can an SME use for this? - How can internal processes be designed more efficiently? IIoT: from the sensor to the cloud - How can existing systems be made fit for more efficient data acquisition? - What are occasions for IoT projects? New Work | Start-ups - How can the team be involved in the design of digital New Work concepts? - How can new digital business models be developed? Smart + big data | AI - What opportunities and risks arise from AI applications? - Which specific AI applications can be used in the company? Social aspects of sustainability - How can employees be trained to fulfill social obligations along the supply chain? - How are stakeholder relationships established and maintained? The Mittelstand-Digital Center Smart Circular Economy is part of Mittelstand-Digital. The Mittelstand-Digital network offers comprehensive support for digitalization with its Mittelstand-Digital Centers and the initiative IT Security in Business. Small and medium-sized enterprises benefit from from concrete practical examples and provider-neutral offers for qualification and IT security. The Federal Ministry for Economic Affairs and Climate Protection enables the free use of and provides financial subsidies.</t>
  </si>
  <si>
    <t>Anja Merker</t>
  </si>
  <si>
    <t>Reinhardtstr. 14, 10117 Berlin, Germany</t>
  </si>
  <si>
    <t>https://www.digitalzentrum-smarte-kreislaeufe.de/</t>
  </si>
  <si>
    <t>automotive, consumer products, health care, leather, manufacturing and processing, textiles, paper and wood</t>
  </si>
  <si>
    <t>additive manufacturing, artificial intelligence decision support, big data, blockchain and distributed ledger technology dlt, cyberphysical systems, digital twins, internet of things, robotics, sensors vision processing systems, simulation engineering and modelling</t>
  </si>
  <si>
    <t>Mittelstand-Digital Zentrum Spreeland</t>
  </si>
  <si>
    <t>The Mittelstand-Digital Zentrum Spreeland informs small and medium-sized enterprises (SMEs) in the state of Brandenburg and the region Upper Lusatia about the opportunities and challenges of digitalisation. Do you have specific digital problems in your company that you want to tackle? Or would you like to start a digitalisation project as a company yourself? Then you've come to the right place! We provide you with vendor-neutral support - at no cost to you. The aim of the centre is to improve the holistic understanding of digital transformation in SMEs and to support the implementation of future-proof digital applications. SMEs are supported in their digital transformation through concrete digital applications, demonstration and testing opportunities, experience spaces, customisable offers for companies and a large number of practical examples. Employees, social partners and managers are actively involved at an early stage in order to introduce new technologies and business systems in an employee-friendly way. One focus of our work is our AI trainer programme, which supports you in the introduction of artificial intelligence (AI) in your company. Specific use cases are used to demonstrate the benefits of AI in the areas of data analysis, assistance systems and intelligent production. In our workshops, we train your employees - also in company-specific formats. Various demonstrators are made available in our roadshow and in our stationary model factories in Cottbus and Wildau. Companies can also train their own AI algorithms in the Open AI Lab. We also address questions about the influence of AI on entrepreneurs and works councils and provide advice on how to organise its introduction. Activities: - Inform - Train - Realise - Networking - individual offers (workshops, projects) - AI &amp; 5G test environment Industries: cross-sector, manufacturing industry Project Management Organisation: DLR project management organisation Funding Organisation: Federal Ministry for Economic Affairs and Climate Protection (BMWK)</t>
  </si>
  <si>
    <t>Randolf Schmitt</t>
  </si>
  <si>
    <t>Lg3a, siemens-halske-ring 14, 03046 Cottbus, Germany</t>
  </si>
  <si>
    <t>https://www.digitalzentrum-spreeland.de/</t>
  </si>
  <si>
    <t>automotive, construction assembly, education, manufacturing and processing, metal working and industrial production, transport mobility</t>
  </si>
  <si>
    <t>innovation management, knowledge transfer, prototyping, sme support, technological innovation, technology transfer</t>
  </si>
  <si>
    <t>additive manufacturing, artificial intelligence decision support, blockchain and distributed ledger technology dlt, cyberphysical systems, cybersecurity, digital twins, human computer interaction, internet of things, logistics, virtual reality, robotics, sensors vision processing systems, simulation engineering and modelling</t>
  </si>
  <si>
    <t>Mittelstand-Digital Zentrum Ländliche Regionen</t>
  </si>
  <si>
    <t>Als Mittelstand-Digital Zentrum richten wir unseren Fokus gezielt auf kleine und mittlere Unternehmen in ländlichen Regionen und unterstützen sie bei der digitalen Transformation. Mit unserem breitgefächerten Angebot adressieren wir dabei gezielt die Bedürfnisse und Herausforderungen von KMU und unterstützen sie dabei, sich zukunftsfähig und resilient aufzustellen. Wir verfolgen einen menschzentrierten, sozialpartnerschaftlichen und nachhaltigen Ansatz und sind überzeugt, dass Digitalisierung nur gemeinsam gelingen kann. Aus diesem Grund steht bei uns nicht die Technik, sondern der Mensch, der sie nutzt, im Mittelpunkt. Um die anstehenden Transformationsherausforderungen erfolgreich zu meistern, müssen Digitalisierung und Nachhaltigkeit immer zusammengedacht werden, sowohl auf ökologischer, ökonomischer als auch sozialer Ebene. Mit unseren Angeboten wollen wir KMU die Chancen und Möglichkeiten, aber auch konkrete Anwendungsbereiche von Digitalisierung näherbringen. Mit Informations- und Vernetzungsveranstaltungen wollen wir aktuelles Digitalisierungswissen aufbauen und Unternehmen die Möglichkeit geben, sich zu Digitalisierungsthemen auszutauschen und voneinander zu lernen. Unsere Qualifizierungs- und Workshopformate richten sich an alle Mitarbeiter:innen in Unternehmen und vermitteln Know-how und Methoden, um die Digitalisierung im eigenen Unternehmen umzusetzen. Im Rahmen von Projekten unterstützen wir Unternehmen bei der gezielten Umsetzung von Digitalisierungsvorhaben. Unsere Demonstratoren machen digitale Innovationen erlebbar und zeigen die Machbarkeit von Digitalisierungslösungen. Unser Angebot ist für Unternehmen kostenfrei, anbieterneutral und praxisnah. Das Mittelstand-Digital Zentrum Ländliche Regionen gehört zu Mittelstand-Digital. Mit dem Mittelstand-Digital Netzwerk unterstützt das Bundesministerium für Wirtschaft und Klimaschutz die Digitalisierung in kleinen und mittleren Unternehmen und dem Handwerk. Das Mittelstand-Digital Netzwerk bietet mit den Mittelstand-Digital Zentren, der Initiative IT-Sicherheit in der Wirtschaft und Digital Jetzt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und stellt finanzielle Zuschüsse bereit.</t>
  </si>
  <si>
    <t>Thomas Crämer</t>
  </si>
  <si>
    <t>Kohlbettstr. 15, 57072 Siegen, Germany</t>
  </si>
  <si>
    <t>https://digitalzentrum-lr.de/</t>
  </si>
  <si>
    <t>automotive, construction assembly, consumer products, health care, manufacturing and processing, personal services, textiles, transport sector, paper and wood, polymers and plastics, transport mobility</t>
  </si>
  <si>
    <t>circular economy, field trial, innovation management, knowledge transfer, prototyping, regional development, sme business development, sme support, technological innovation, technology transfer</t>
  </si>
  <si>
    <t>additive manufacturing, artificial intelligence decision support, big data, cloud services, communication network, cyberphysical systems, cybersecurity, gamification, high performance computing, human computer interaction, internet of things, laserbased manufacturing and materials processing, locationbased applications, logistics, mobility, virtual reality, sensors vision processing systems, simulation engineering and modelling, software architectures</t>
  </si>
  <si>
    <t>Mittelstand-Digital Zentrum Chemnitz</t>
  </si>
  <si>
    <t>The Mittelstand-Digital Center Chemnitz is a contact point for small and medium-sized companies from all over Saxony that are interested in the topics of digitalization and artificial intelligence. The aim is to introduce companies to forward-looking topics, strengthen their digital expertise and support the development of new strategies. The center therefore focuses on digital business models and technological solutions, including the application of artificial intelligence. The focus is also on topics such as IT security, law and sustainability. The Mittelstand-Digital Center Chemnitz offers a wide range of free and provider-neutral services. These include workshops, seminars, guidelines and project support. All offers are aimed at both beginners and experienced entrepreneurs. Demonstrators are used in test and training environments to try out individual digitalization solutions. These illustrate how digital solutions can be implemented in practice. The center works closely with a network of partners. This cooperation enables comprehensive support for companies in the field of digitalization and artificial intelligence.</t>
  </si>
  <si>
    <t>Luise Weißflog</t>
  </si>
  <si>
    <t>Erfenschlager straße 73, 91250 Chemnitz, Germany</t>
  </si>
  <si>
    <t>https://digitalzentrum-chemnitz.de/</t>
  </si>
  <si>
    <t>automotive, construction assembly, energy, energy, fuels and petroleum engineering, manufacturing and processing, metal working and industrial production, retail, wholesale or distribution, security, legal aspects</t>
  </si>
  <si>
    <t>innovation management, knowledge transfer, prototyping, regional development, smart specialisation strategies, sme business development, sme support, technological innovation, technology transfer</t>
  </si>
  <si>
    <t>additive manufacturing, artificial intelligence decision support, cyberphysical systems, cybersecurity, digital twins, human computer interaction, internet of things, virtual reality, sensors vision processing systems, simulation engineering and modelling</t>
  </si>
  <si>
    <t>Mittelstand-Digital Zentrum Rheinland</t>
  </si>
  <si>
    <t>The Mittelstand-Digital Zentrum Rheinland supports SMEs in the Rhineland to make their companies ready for the future by themselves, using digitalization methods and technologies. The Mittelstand-Digital Zentrum Rheinland also provides help in the field of AI especially in the production, construction and trade sectors. The Mittelstand-Digital Zentrum Rheinland is part of the Mittelstand-Digital initiative.</t>
  </si>
  <si>
    <t>Dario Luipers</t>
  </si>
  <si>
    <t>Gottfried-hagen-straße 60, 51105 Köln, Germany</t>
  </si>
  <si>
    <t>https://mittelstand-digital-rheinland.de/</t>
  </si>
  <si>
    <t>automotive, construction assembly, health care, manufacturing and processing, real estate</t>
  </si>
  <si>
    <t>circular economy, innovation management, knowledge transfer, prototyping, sme support, technological innovation</t>
  </si>
  <si>
    <t>additive manufacturing, artificial intelligence decision support, big data, cloud services, cyberphysical systems, digital twins, gamification, human computer interaction, internet of things, virtual reality, robotics, sensors vision processing systems</t>
  </si>
  <si>
    <t>Mittelstand-Digital Zentrum Saarbrücken</t>
  </si>
  <si>
    <t>The Mittelstand-Digital Zentrum Saarbrücken supports small and medium-sized enterprises (SMEs) in the digital transformation. The center is part of the initiative “Mittelstand-Digital“ by the German Federal Ministry for Economic Affairs and Climate Action (www.mittelstand-digital.de).</t>
  </si>
  <si>
    <t>Anne Blum</t>
  </si>
  <si>
    <t>Eschberger weg 46, gewerbepark geb. 9, 66121 Saarbrücken, Germany</t>
  </si>
  <si>
    <t>https://digitalzentrum-saarbruecken.de/</t>
  </si>
  <si>
    <t>automotive, construction assembly, consumer products, energy, environment, manufacturing and processing, metal working and industrial production</t>
  </si>
  <si>
    <t>circular economy, ecosystem building, innovation management, knowledge transfer, prototyping, sme business development, sme support, technological innovation, technology transfer</t>
  </si>
  <si>
    <t>artificial intelligence decision support, cyberphysical systems, cybersecurity, digital twins, gamification, human computer interaction, internet of things, virtual reality, robotics, sensors vision processing systems</t>
  </si>
  <si>
    <t>STEPP Cluster / DUTIREG Nonprofit Kft</t>
  </si>
  <si>
    <t>KET DIH phase (2020-2021) The Digital Innovation Hub in Szeged was first developed within the framework of DIH-World project which provided professional support for the elaboration of Business Plan for DIH focused on photonics and advanced manufacturing as Key Enabling Technologies. S3 DIH phase (2022-2023) The Territorial Responsible Research and Innovation and Smart Specialisation (TetRRIS) project provided professional help to link the digitalisation activities to S3 priorities of the region of Szeged. EPIX DIH phase (from 2024) The cluster development actions of the project Ecosystem Partnership for Interclusters and smart cities eXchanges (EPIX) enabled us to adjust the technology development services to the needs of the regional clusters and the partnering cities, as well. Science, Technology and Educational Platform for Photonics (STEPP) Cluster which is the coordinator organisation of EPIX DIH, is active member in the National Association of Innovative Clusters. DUTIREG Nonprofit Kft as representative of STEPP Cluster and EPIX DIH also takes part in the Hungarian Cluster Alliance which represents the Hungarian clusters in the Monitoring Committee of the Competitiveness Operational Programme on national level. Keywords: photonics</t>
  </si>
  <si>
    <t>Eva Balogh</t>
  </si>
  <si>
    <t>Szeged, Roosevelt ter 14, 6720, Hungary</t>
  </si>
  <si>
    <t>https://www.epix-dih.eu/</t>
  </si>
  <si>
    <t>automotive, communityled local development, cultural and creative economy, education, financial, manufacturing and processing, smart city</t>
  </si>
  <si>
    <t>circular economy, ecosystem building, finance, innovation management, knowledge transfer, prototyping, regional development, smart specialisation strategies, technological innovation, technology transfer</t>
  </si>
  <si>
    <t>additive manufacturing, artificial intelligence decision support, big data, communication network, cyberphysical systems, cybersecurity, digital twins, internet of things, laserbased manufacturing and materials processing, virtual reality, photonics, robotics, sensors vision processing systems, software architectures</t>
  </si>
  <si>
    <t>Pannon Business Network Association</t>
  </si>
  <si>
    <t>Pannon Business Network (PBN) was established in 2006, with the aim to contribute to the upgrade of the Western Hungarian business added value. It is the center for applied research and training to catalyze added value manufacturing connected both to industry and academia, enabling digital, sustainable, resilient and green business transformation. By realizing over 75 international applied research projects with 450+ European partners (50+ universities), having audited over 300 Hungarian manufacturing companies, PBN has an alone-standing knowledge of the Central European SME and mid-cap manufacturing market. The key related elements are: international applied research and cooperation projects - policy paper input provider - digital innovation hub service - university-connected technology transfer - city and regional development programme coordinator - EIT Manufacturing Hub functionality. PBN division: am-LAB - Advanced Manufacturing DIH is a dedicated training and applied R&amp;D facility servicing primarily manufacturing SMEs. Tangible, added value applications are created from alone-standing digital devices. Key competency domains: 3D printing for product development, collaborative robotics solutions in agility production, human-machine interactions, AR solutions in production and education, and a 5-modules Teaching and Learning Factory environment for demonstration, experiment and prototyping. Over 3.000 people were educated about digitalization at 53 courses in 2020-21. On EIT’s Teaching and Learning Factories’ Competition, PBN has been selected to promote the use of the Teaching Factories educational methodology, by giving visibility to the benefits of academia-business collaborations in a context of manufacturing innovation, to skill youth and professionals in the moderate innovation ecosystem, thus valorising high levels technical skills. Examples of PBN contribution an involvement in European policy initiatives aimed at digitizing the industry: BEST DIH - Boosting European DIH Success Through a new funding mix approach, Interreg Europe programme, 01.03.2023. – 28.02.2027. The overall objective of the project is to improve the implementation of regional development policies in the field of digital transformation, thanks to the increased institutional capacities of the consortium partners, and therefore contribute to a SMARTER EUROPE. The implementation of these policies will take into account the key role that DIH/EDIHs can play and ensure the coordinated delivery of funding between different administration levels. SKALE2CT - Skills and Scale to Connect for Business Acceleration Services policy transfer, Interreg Europe programme, 01.03.2023. – 28.02.2027. The overall objective of SKALE2CT is to improve resources and capacities of public and intermediary organisations to improve Business Acceleration providers and services, in particular when it comes to scale-up phase. For such purpose, the partnership is composed by a group of public and private organisations with complementary experiences and competences. Specifically, among the main scaling-up resources to be targeted. From a mid-term perspective, the objective is to contribute to the maintenance and sustainable growth of MSMEs established in EU territories. This will contribute to the territorial challenge of becoming an innovation-friendly society &amp; economy. SMART CIRCUIT - Enabling SMARTer, CIRCUlar digITal innovation hubs to enhance Central Europe’s manufacturing eco-system towards a greener &amp; more competitive future, Interreg Central Europe programme, 01.04.2023.– 31.03.2026. Manufacturing is an important employer in central Europe. But it is also resource-intensive and produces much waste and emissions, especially in value chains related to the electronics, construction and textiles sectors. The SMART CIRCUIT project extends the scope of existing digital innovation hubs to promote circular economy practices. By connecting these hubs throughout central Europe, the partners increase knowledge on best practices and strengthen. DIH2 - „A Pan‐European Network of Robotics DIHs for Agile Production”, Horizon 2020, 01.01.2019- 31.12.2022. DIH² is a network of 26 DIHs, with a target to reach over 170 DIHs. The sole aim of the network is to spark incremental (cut 50% cost of advance robotics solutions, double the growth of robotics market) and disruptive (maximum productivity &amp; optimum agility) innovations in over 300,000 Manufacturing SMEs and Mid-Caps. It will support SMEs in their Agile Production challenge (50% increase in productivity) and unleash their digitalization potential by enabling robot solutions that are more cost effective at lower lot sizes. AI REDGIO 5.0 - Regions and (E)DIHs alliance for AI-at-the-Edge adoption by European Industry 5.0 Manufacturing SMEs, Horizon Europe, 01.01.2023. – 31.12.2025. HORIZON-CL4-2022-TWIN-TRANSITION-01-06. AI REDGIO 5.0 aims at renovating and extending the H2020 I4MS AI REGIO alliance between Vanguard EU regions and DIHs for a competitive AI-at-the- Edge Digital Transformation of Industry 5.0 Manufacturing SMEs. AI REGIO outcomes (methods and tools for DIHs governance and cross-DIH collaboration; Data Space and AI for Manufacturing toolkit; Didactic Factories network and TERESA facilities; SME-driven experimentations in 14 Vanguard regions) will be extended to the I5.0 principles. AIRISE - Artificial Intelligence in Manufacturing for Sustainable Applications at SMEs, 01.01.2023. – 30.06.2026. Horizon Europe programme. The ARISE project will support European SMEs in the uptake of Artificial Intelligence applied to manufacturing, with a specific focus on the use of AI-enabled applications at the edge. The key objective for applications is a reduction of waste and carbon footprint while ensuring the resilient operation of manufacturing. The consortium will create an eco-system where the project’s AI experts will support experimenting SMEs and connect them to Digital Innovation Hubs and commercial companies to achieve real-world applications.</t>
  </si>
  <si>
    <t>Matyas Lazary</t>
  </si>
  <si>
    <t>Győr, Gesztenyefa u.4., 9027, Hungary</t>
  </si>
  <si>
    <t>https://www.am-lab.hu/</t>
  </si>
  <si>
    <t>automotive, cultural and creative economy, education, financial, health care, manufacturing and processing, public administration, telecommunications, textiles, transport sector, transport mobility</t>
  </si>
  <si>
    <t>circular economy, ecosystem building, finance, innovation management, knowledge transfer, prototyping, public sector innovation, smart specialisation strategies, sme business development, sme support, technological innovation, technology transfer, vocational training</t>
  </si>
  <si>
    <t>additive manufacturing, artificial intelligence decision support, big data, cyberphysical systems, digital twins, human computer interaction, internet of things, logistics, virtual reality, robotics, semiconductors and nanotechnology</t>
  </si>
  <si>
    <t>Belgrade Robotics Hub</t>
  </si>
  <si>
    <t>ETF, as a formal entity, is an orchestrator of Belgrade Robotics Hub (BRH), an informal organization between key stakeholders in robotics and AI, established as a partnership between the University of Belgrade institutions, partner companies, and organizations. The BRH members are three leading robotics laboratories at the University of Belgrade (ETF Robotics at School of Electrical Engineering, Center for Robotics at Institute Mihajlo Pupin, and Laboratory for Robotics and Artificial Intelligence at Faculty of Mechanical Engineering), partner companies (ABB Serbia, Servoteh, TipTeh, Gimatic and Vision Equipment) and Science Technology Park Belgrade. BRH's mission is to provide companies, students, investors, innovators, policymakers, and the general public with high-quality robotics-related services in education, technology, and business. We aim to make a continuous contribution to robotics innovations, companies’ productivity, and competitiveness, opening new opportunities for young engineers in Serbia and stimulating interaction in the regional robotics community.BRH vision is to be a focal point, initiator, creator and the biggest support of robotics and AI research, education, and applications in Serbia and wider in the region of South-East Europe.
BRH services:Technical services: joint, pre-competitive R&amp;D, secondment from companiesspecific R&amp;D, technology concept development, proof of conceptand concept validation, prototyping, small series productionrenting equipment, low-rate production, platform technology infrastructure (collaborative robots - Franka Emika, Neura Robotics; industrial robot cells - ABB, DENSO, FANUC; wearable sensors - Delsys; computer vision - Intel, Optitrack). Ecosystem &amp; network: scouting, brokerage, awareness creation, dissemination, ecosystem building, workshops, seminars to share knowledge and experience, organizing (country) visits, roadshowsFind investments: connection to funding sources, investment plans, identification of opportunities, creating consortia, development of proposalsoffice space and space for experimentation and pilot manufacturing.Skills training, education: Specialized courses on ecosystem/technology/business, strategy development on topic education.- At national level, ETF representatives (as well as other BRH representatives) is involved at expert level in all relevant public bodies including Ministry of Science, Technological Development and Innovations; Ministry of Education; Ministry of Information and Telecommunications;- At the international level, ETF representatives are involved at the European Commission as Programme Committee Members in Cluster 4: Digital, Industry, and Space, as well as large sectoral pan-European DIH networks in agile production (DIH2) and healthcare (DIH-HERO) that provides inputs for EU robotics as one of the largest public-private-partnership in Europe. </t>
  </si>
  <si>
    <t>Kosta Jovanović</t>
  </si>
  <si>
    <t>Bulevar kralja Aleksandra 73, 11000 Belgrade, Serbia</t>
  </si>
  <si>
    <t>http://robot.etf.rs/index.php/brh-services/</t>
  </si>
  <si>
    <t>automotive, education, food and beverages, health care, manufacturing and processing, metal working and industrial production, smart city</t>
  </si>
  <si>
    <t>circular economy, ecosystem building, finance, knowledge transfer, prototyping, sme support, technological innovation, technology transfer, vocational training</t>
  </si>
  <si>
    <t>artificial intelligence decision support, cloud services, cyberphysical systems, cybersecurity, human computer interaction, internet of things, virtual reality, robotics, sensors vision processing systems, simulation engineering and modelling</t>
  </si>
  <si>
    <t>Center for Technology Transfer and Innovations</t>
  </si>
  <si>
    <t>INNOFEIT offers a plethora of services for local SMEs to support their digital transformation:- Contract and collaborative research- Solving practical problems in product development- Technology transfer- Training and skills development- Match-making of expertise with local SMEs needs- Access to state-of-the-art FEEIT laboratories (2M euros worth) for testing, experimentation and prototyping- Co-working space- Access to finance and market through partner network- Help with establishment of spin-off / spin-out companies- Support and assistance in preparation of applications for national and international project calls
INNOFEIT DIH specific expertise: energy consumption and management, IoT, AI, robotics, digital twin, data analytics, 5G
Network and partnerships:- part of a regional TT-networking initiative in the Western Balkans. As such, we can offer extended services to potential clients in the broader Western Balkan region. Examples of these services include dissemination of know-how about commercial exploitation of research outputs in the region, encouraging triple-helix partnerships with regional partners, adequate learning and funding models etc. - part of DIH2 network - certified DIH within CHANGE2TWIN project- collaboration with MASIT (Macedonian Association of ICT companies)- collaboration with Chamber for ICT and services- founding member of Business Accelerator UKIM (BAU)- INNOFEIT is a monitoring institution of 12 companies receiving funding for digital transformation from the national Fund for Innovations and Technology Development (FITD) (https://fitr.mk/digitalna-transformacija/)- INNOFEIT was involved in the development of the S3 strategy of North Macedonia (collaboration with the Ministry of Economy and Ministry of Education and Science)</t>
  </si>
  <si>
    <t>Faculty Of Electrical Engineering And Information Technologies (Feeit)</t>
  </si>
  <si>
    <t>Rugjer Boskovic 18, 1000 Skopje, North Macedonia</t>
  </si>
  <si>
    <t>https://dih-inno.feit.ukim.edu.mk/</t>
  </si>
  <si>
    <t>automotive, communityled local development, consumer products, education, electricity, energy, environment, health care, manufacturing and processing, personal services, public administration, telecommunications, security, smart city, transport mobility</t>
  </si>
  <si>
    <t>ecosystem building, field trial, innovation management, knowledge transfer, prototyping, public sector innovation, regional development, smart specialisation strategies, sme business development, sme support, technological innovation, technology transfer, vocational training</t>
  </si>
  <si>
    <t>additive manufacturing, artificial intelligence decision support, big data, communication network, cyberphysical systems, cybersecurity, digital twins, internet of things, internet services applications, mobility, robotics, sensors vision processing systems, simulation engineering and modelling</t>
  </si>
  <si>
    <t>WRO4digITal European Digital Innovation Hub Wroclaw</t>
  </si>
  <si>
    <t>Digital transformation is considered as one of the main European approach to address skills gap and enrich competitiveness and innovation. Poland and Lower Silesia can boast a high level of digital maturity of the largest companies, however digital transformation of SMEs and the PA are strategically identified as one of the main development challenges in the upcoming years. The consortium WRO4digITal EDIH Wrocław, comprising of 22 Partners including associated institutions, combines broad experience and competencies in area of digital capabilities. The main objective is to orchestrate a complete ecosystem of competent institutions capable of extend expert support to the digital transformation in Lower Silesia. The project aims to implement all DIGITAL specific objectives, with the offer of 4 key activity categories: 1) ecosystem building and networking, 2) digital knowledge capacity building, 3) transformation activities-test before invest, 4) financing opportunities. The WRO4digITal will offer a set of services tailored to the needs of the local SMEs and PAs, with a focus in particular, on ones operating in key regional economic sectors (i.e.smart specialization). Comprehensive EDIH services will be built around: plans for the digital transformation of products/services/processes, expert support for digital solutions implementation, and innovative transformation of business models of SMEs. Due to the very high demand for the digital support of local PAs, customized support is addressing this specific segment. The structure and procedures of WRO4digITal are geared to ensure high quality of services and deliverables during the project lifetime. The EDIH activities will implement the EU priorities of: “A Europe fit for the digital age” and “A European Green Deal” (demonstrated by dedicated proprietary KPI). Apart from directly contributing to the objectives of DIGITAL, WRO4digITal also contributes to both EU and PL strategy on Artificial Intelligence.</t>
  </si>
  <si>
    <t>Emilia Mazgajczyk</t>
  </si>
  <si>
    <t>Muchoborska 18, 54-424 Wroclaw, Poland</t>
  </si>
  <si>
    <t>https://www.technologpark.pl/edih/</t>
  </si>
  <si>
    <t>automotive, agricultural biotechnology and food biotechnology, manufacturing and processing, public administration, food and beverages</t>
  </si>
  <si>
    <t>sme support, ecosystem building, finance, knowledge transfer, technology transfer</t>
  </si>
  <si>
    <t>additive manufacturing, cybersecurity, artificial intelligence decision support, high performance computing, internet of things, robotics, virtual reality, big data, cloud services, simulation engineering and modelling, digital twins</t>
  </si>
  <si>
    <t>hub4industry</t>
  </si>
  <si>
    <t>hub4industry (h4i) est.2019 operates in Małopolska Region Kraków (Poland). Focuses on digitalisation of manufacturing SMEs. The Orchestrator, Krakow Technology Park(KPT) is one of the most developed and respected Polish business support organisations. With incubator, accelerator, seed funds, special economic zone, and experience in project management KPT is fit to lead the hub and together with 9 Partn. (+2 Affiliated Partn.) that represent various technology and knowledge areas commits to build not-for -profit DIH that will close the gap of knowledge and experience among SMEs regarding the digitalisation and will introduce and help executing Green Deal goals locally. H4i goal is to offer broad, holistic range of services to become “go to address” for SMEs starting or speeding up digital transformation and sustainable transformation. Technical range starts from DEP priorities: AI, Cybersec, digital skills up to additive manufacturing, smart robotisation, IoT, 5G connectivity. The offer is set up from 19 services i.e. Skills and Training, Test Before Invest, Support in funding areas. They are supported by Communication, Dissemination, Community and Networking actions. Although substantial investments in h4i already have been made in last 3 years, approx. 1,5M euro (public and private) and pilot project was delivered outperforming expectations and KPIs, joining EDIH network by h4i is essential for further development of the hub, increasing the number of services, and building up it’s capacity. Extensive market research was conducted together with regional gov. to design project responding to actual needs and challenges of local SME. Most of the h4i services can be delivered to remote clients, budget is designed to handle the additional costs of interregional cooperation, and h4i already got cooperation forward by connecting to more than 30 EDIH candidates.</t>
  </si>
  <si>
    <t>Aleksandra BŁASZCZAK</t>
  </si>
  <si>
    <t>Ul. Podole 60, 30-394 Krakow, Poland</t>
  </si>
  <si>
    <t>https://hub4industry.pl/</t>
  </si>
  <si>
    <t>automotive, manufacturing and processing, metal working and industrial production</t>
  </si>
  <si>
    <t>ecosystem building, sme support, innovation management, knowledge transfer, regional development, sme business development, technological innovation</t>
  </si>
  <si>
    <t>big data, cloud services, cybersecurity, digital twins, sensors vision processing systems, internet of things, simulation engineering and modelling, laserbased manufacturing and materials processing, communication network, cyberphysical systems, artificial intelligence decision support, internet services applications, virtual reality, robotics</t>
  </si>
  <si>
    <t>SMART Manufacturing competence center "Intechcentras"</t>
  </si>
  <si>
    <t>Advanced Manufacturing DIH is led by non-profit public organisation - Intechcentras. The one-stop-shop center provides business enterprises with up-to-date information, expert assistance and access to technology for testing digital innovations. It also helps to carry out and conduct experiments with products, processes or business models. The Hub seeks significant changes in the field of digitizing industry in Lithuanian companies, thus increasing their competitiveness and added value. • Access to the centers of competences • The heart of the innovation ecosystem • Mediation and networking services • Aid for funding • Education, training and consulting services MISSION: By integration of Lithuanian ecosystem participants, in usege of digital technologies, to increase the competitiveness of Lithuanian enterprises. SCOPE OF SERVISES: • DIH consulting services: • Search for innovations; • Establishing the company's digital level and providing recommendations; • Preparation of company's digital strategic plans and necessary investments; • Training and consulting in the field of digitization and innovative technologies; • Mediation between science and business and business and business; • Studies. FieldLab Contracted Services: • Practical Digitization; • Technology design / installation services; • Demonstration, testing, production of prototype small quantities, including 3D printing methods; • Testing of new functional materials for the engineering industry; • Identification and harmonization of related and interactive activities; • Collection and processing of data for statistical analysis of characteristics; • Quality control of products, validation of produced batches, characterization; • Finance attraction service / EU project preparation and initiation. Advanced manufacturing Digital Innovation HUB in 2012 was established by the Lithuanian engineering industry association LINPRA, with the goal of increasing the competitiveness of industrial companies. As joint competencies center DIH provide services for more than 300 manufacturing companies in the metal, machinery and equipment, electromechanics and electronics, plastics and rubber industries. Advanced manufacturing DIH in cooperation with universities, ERP, MES, smart manufacturing service providers, software developers, industry experts, DIH providing innovation support, advisory and training services in the implementation of modern digital technologies in traditional Lithuanian industries. DIH is member of Laser and Engineering Technologies Cluster LITEK, DIHNET, DIHELP, EIT Manufacturing, Smart Connectivity DIH Network, Lithuanian Plastic cluster, Baltic Automotive Components Cluster BACC, association Orgalime. The activities of the hub are well aligned with the Lithuanian national initiative for digitising industry, Industry 4.0. DIH is a member of the Lithuanian Industry 4.0 National Platform (http://www.industrie40.lt/platform/). Advanced manufacturing DIH belongs to various working groups and closely cooperates with: • Ministry of Economy and Innovation • Innovation Agency Lithuania Advanced manufacturing DIH is direct member in European Digital Innovation Hub (EDIH) of Central and Western Lithuania https://di4lithuanianid.com/ . This EDIH consists of 14 partners operating throughout Lithuania and representing different areas of competence and experience. EDIH is operating in 5 sectors: Manufacturing, Public Sector, Healthcare &amp; Biotechnologies, ICT and Fintech. EDIH key competences are Artificial Intelligence (AI) and Cybersecurity (CS) in the fields of ​Big data, Automated BMS &amp; WMS, Smart Sensors, ​Robotics, I​oT/IoIT, ​Automation, ​VR/AR, Automatic reporting.​</t>
  </si>
  <si>
    <t>Audrius Jasenas</t>
  </si>
  <si>
    <t>Technopolis / beta, juozo balčikonio str. 3, 08247 Vilnius, Lithuania</t>
  </si>
  <si>
    <t>https://intechcentras.lt/services/advanced-manufacturing-dih/?lang=en</t>
  </si>
  <si>
    <t>automotive, construction assembly, defence, education, electricity, energy, manufacturing and processing, maritime, metal working and industrial production, nmp nonmetallic materials basic processes, telecommunications, polymers and plastics, security, smart city, space, transport mobility</t>
  </si>
  <si>
    <t>circular economy, ecosystem building, field trial, innovation management, knowledge transfer, prototyping, regional development, smart specialisation strategies, sme business development, sme support, technological innovation, technology transfer, vocational training</t>
  </si>
  <si>
    <t>additive manufacturing, artificial intelligence decision support, big data, communication network, cyberphysical systems, cybersecurity, digital twins, displays, internet of things, laserbased manufacturing and materials processing, logistics, mobility, virtual reality, organic and large area electronics, photonics, robotics, semiconductors and nanotechnology, sensors vision processing systems, simulation engineering and modelling, software architectures</t>
  </si>
  <si>
    <t>AIVHY ltd.</t>
  </si>
  <si>
    <t>AIVHY brings lasting &amp; achievable innovation through the principles of Industry 4.0 &amp; IIoT. We do this by breaking up innovation into a road map of smaller achievable steps, where each step provides an excellent return against a realistic investment. Our approach addresses innovation holistically and ensures to continuously reduce the barrier for further innovation. We do all this cyber secure and with a real-world approach. AIVHY was involved in April 2023 regional with Malta Enterprise (government) and provided a training in industry 4.0 in a real world. AIVHY brought in June 2023 the University of Malta and Saxion University of Applied Science (Netherlands) together to start cooperation within the EU Erasmus Program. AIVHY is at the moment in contact with MCAST Malta to seek opportunities of colaboration.</t>
  </si>
  <si>
    <t>Malta</t>
  </si>
  <si>
    <t>Stanley Muller</t>
  </si>
  <si>
    <t>Soho the strand, fawwara building, msida road, Gzira GZR1401, Malta</t>
  </si>
  <si>
    <t>https://aivhy.com/</t>
  </si>
  <si>
    <t>automotive, education, energy, fuels and petroleum engineering, food and beverages, manufacturing and processing, maritime, retail, wholesale or distribution, polymers and plastics</t>
  </si>
  <si>
    <t>innovation management, knowledge transfer, sme business development, sme support, technological innovation, technology transfer</t>
  </si>
  <si>
    <t>cloud services, communication network, cybersecurity, internet of things, logistics, software architectures</t>
  </si>
  <si>
    <t>Connected Mobility Hub</t>
  </si>
  <si>
    <t>Connected Mobility Hub is the leading mobility innovation ecosystem in Southern Europe. Composed of 140 associated startups, 120 investors, 16 cities and about 225 corporates and organizations, the ecosystem strives to accelerate the paradigm shift in mobility, from innovation and new solutions provided by startups, as well as the collaboration of different key actors, both public and private ones. Our goal is to advance in the decarbonization and digitization of transport, generating cities with zero emissions and better environmental quality and urban liveability. Connected Mobility Hub takes actively part in EDIH Madrid Region, one of the EDIH of the European network.</t>
  </si>
  <si>
    <t>Luis Morales</t>
  </si>
  <si>
    <t>Piamonte, 23., 28004 Madrid Madrid, Spain</t>
  </si>
  <si>
    <t>https://connectedmobilityhub.com/</t>
  </si>
  <si>
    <t>automotive, transport sector, smart city, transport mobility</t>
  </si>
  <si>
    <t>ecosystem building, knowledge transfer, public sector innovation, sme support, technology transfer</t>
  </si>
  <si>
    <t>artificial intelligence decision support, big data, logistics, mobility</t>
  </si>
  <si>
    <t>DIH Veneto</t>
  </si>
  <si>
    <t>The DIH Veneto is managed by Confindustria Veneto SIAV Srl, the service company of Confindustria Veneto. It operates at a regional level in close connection with the "territorial antennas" set up by the Industrial Associations of the Veneto provinces and the provincial DIHs of Confindustria. The objective of DIH Veneto is to support the business system in the digital transition process through a structured series of initiatives, activities and services: • Awareness-raising and training on the opportunities related to the application of 4.0 technologies through the organisation of seminars, workshops, training courses and study visits; • Management animation and promotion of the regional network of Industry 4.0 showcase factories https://100luoghi.industria40veneto.it/ • Research and studies in the field of 4.0 aimed at promoting and developing the managerial culture • Digital maturity assessment: support in the use of digital maturity assessment tools, the definition of the roadmap for the digital transformation of business processes and accompaniment in the development of 4.0 projects through the support of highly qualified managers • Orientation towards the innovation ecosystem: national and European competence centres (in particular the Smact Competence Centre in Triveneto), smart factories and demo centres, lighthouse factories, universities, technology clusters, public and private research centres, technology transfer centres, incubators and fablabs; • Support in accessing regional, national and European funding • Liaison with major regional clusters. SIAV is part of 12 technology clusters recognised by the Veneto Region. The DIH Veneto operates at a regional level in close connection with the "territorial antennas" set up by the Industrial Associations of the Veneto provinces and the provincial DIHs of Confindustria. Confindustria Veneto and SIAV participate in EEN - Enterprise Europe Network in the Friend Europe Consortium, pursuing the mission of internationalisation of enterprises in connection with territorial associations. SIAV participates in two EDIHs: DANTE - Digital Solutions for a Healthy, Active and Smart Life and NEURAL - Veneto Hub for Advanced Digital Technologies. In both EDIH, our core activity is animation of the industrial ecosystem (SMEs/regional clusters) and the provision of assessments on the digital maturity of enterprises, in particular manufacturing SMEs. As SIAV, we are also an observatory for the Veneto region on industrial transformations, we have also conducted research on industrial transitions in manufacturing SMEs and we carried out initiatives, projects, piloting and training activities with and within SMEs on both knowledge and technology transfer. Liaison with major regional clusters: SIAV is part of 12 technology clusters recognised by the Veneto Region (RIR- Reti Innovative Regionali)</t>
  </si>
  <si>
    <t>Confindustria Veneto Siav Srl</t>
  </si>
  <si>
    <t>Via torino 151/c, 30172 Mestre venezia TO, Italy</t>
  </si>
  <si>
    <t>https://www.industria40veneto.it/development/siav/portale/industry40.nsf/$direc…</t>
  </si>
  <si>
    <t>automotive, communityled local development, cultural and creative economy, education, environment, financial, life sciences, manufacturing and processing, maritime, metal working and industrial production, public administration, telecommunications, travel and tourism, security, space</t>
  </si>
  <si>
    <t>circular economy, innovation management, knowledge transfer, public sector innovation, regional development, smart specialisation strategies, sme support, technological innovation, technology transfer, vocational training</t>
  </si>
  <si>
    <t>artificial intelligence decision support, big data, blockchain and distributed ledger technology dlt, cloud services, communication network, cyberphysical systems, cybersecurity, digital twins, internet of things, internet services applications, logistics, mobility, new technologies for audiovisual sector media, virtual reality, simulation engineering and modelling, software architectures</t>
  </si>
  <si>
    <t>ECIPA</t>
  </si>
  <si>
    <t>Ecipa developed the following offer of services, which are delivered by the DIH: Orientation activities in the form of awareness-raising workshops about the potential of digital transformation; Assessment of company maturity vis à vis Industry 4.0; Demonstration activities to approach digital technologies practically (e.g. prototyping); Training for SMEs willing to approach digital transformation; Support to the drafting of feasibility analysis of digital transformation processes; Support to the elaboration of digital transformation strategy; Consulting services on how to introduce digital optimisation or innovation; Support for identification of and access to funding opportunities for digital innovation; Networking among relevant stakeholders; Support for scaling up digital transformation with the help of Competence Centers. In 2017, CNA Veneto nominated Ecipa as the organization tasked with the development and management of the Digital Innovation Hub (DIH)</t>
  </si>
  <si>
    <t>Simona Aceto</t>
  </si>
  <si>
    <t>Via della pila 3/b, 30175 Marghera venezia VE, Italy</t>
  </si>
  <si>
    <t>https://ecipahub.eu/en/home</t>
  </si>
  <si>
    <t>automotive, construction assembly, cultural and creative economy, education, energy, environment, food and beverages, manufacturing and processing, personal services, retail, wholesale or distribution, smart city</t>
  </si>
  <si>
    <t>ecosystem building, innovation management, smart specialisation strategies, sme business development, sme support, vocational training</t>
  </si>
  <si>
    <t>additive manufacturing, artificial intelligence decision support</t>
  </si>
  <si>
    <t>Flanders Make</t>
  </si>
  <si>
    <t>The goal of DIGITALIS partners is to primarily help Flemish end user manufacturing SMEs in their digital and green transition. Although the prime focus is on SMEs we will also support bigger companies when applicable and especially when a connection can be made with an SME. Therefore our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The partnership will work together in a lean governance model (see WP6) and provide a broad range of services: • Testing – manufacturing SMEs will be offered access to the DIGITALIS infrastructures to be able to test new digital shop floor technologies before implementing them – see WP2 • Providing training related to digital skills – DIGITALIS will train and upskill the workforce in manufacturing companies. To fully deploy the benefits of digitalisation different trainings will be offered for different levels in the organisation (shop floor people as well management, engineering, support) – see WP3 • Support to find the necessary financial means – we will help manufacturing SMEs to define the funds needed for the digital transition and in finding the most suitable financial means for the digital projects to fast-track the implementation at the SMEs – see WP4 • Ecosystem – we will enhance peer to peer learning both regional and on a European level and connect technology suppliers with end user SMEs to expand the digital ecosystem – see WP5 Participation in different living labs organized by our national funding agency. Act as technology service provider for the industry.</t>
  </si>
  <si>
    <t>Ger Van Den Kerkhof</t>
  </si>
  <si>
    <t>https://www.flandersmake.be</t>
  </si>
  <si>
    <t>automotive, construction assembly, manufacturing and processing, metal working and industrial production, transport mobility</t>
  </si>
  <si>
    <t>circular economy, finance, innovation management, prototyping, sme support, technological innovation, technology transfer</t>
  </si>
  <si>
    <t>artificial intelligence decision support, communication network, cyberphysical systems, cybersecurity, digital twins, high performance computing, mobility, virtual reality, photonics, robotics, semiconductors and nanotechnology, sensors vision processing systems, simulation engineering and modelling</t>
  </si>
  <si>
    <t>DIH4GlobalAutomotive</t>
  </si>
  <si>
    <t>The DIH 4 GLOBAL AUTOMOTIVE proposes to assume as the Digital Innovation Hub of the Automotive Sector in Portugal, arising from the aggregation of a set of entities and companies, coordinated by MOBINOV, with the objective of providing support services to SME to support the (necessary) digital transformation of the value chain, both at the product and process level, positioning existing companies and start-ups in the future of mobility. Its main objective is to work at the level of the development of innovative concepts and products for the Car of the Future, supporting the SMEs in the automotive sector in the development of new components for this car and, mainly, to support the necessary changes to the production processes associated with Industry 4.0 and the concept of Factory of the Future. It also intends to act as an access point to the European network of EDIHs, helping local companies and/or public actors to get support from other EDIHs in case the needed competences fall outside their competence, ensuring that every stakeholder gets the needed support wherever it is available in Europe and provide services to SME from other countries presented by other EDIHs that need their expertise. The diagnoses made with SMEs, point to the importance that digital technologies will be used increasingly in all car systems, so DIH resources will also be able to be mobilized in a transversal way, so that services can be provided with maximum flexibility and versatility. The DIH will act as an intermediary of innovation in the automotive industry and its value chain, seeking to provide through the provision of advanced digital services and technologies aid and support to companies in their digital transformation processes, providing a set of services such as testing before investing, skills development and training, support in the search for investment funding, partnerships and networking for the innovation ecosystem.</t>
  </si>
  <si>
    <t>Rui Oliveira</t>
  </si>
  <si>
    <t>Av. D. Afonso Henriques 1825, 4450-017 Matosinhos, Portugal</t>
  </si>
  <si>
    <t>http://www.dih4globalautomotive.com</t>
  </si>
  <si>
    <t>automotive, manufacturing and processing, smart city, transport mobility</t>
  </si>
  <si>
    <t>sme support, prototyping</t>
  </si>
  <si>
    <t>artificial intelligence decision support, cybersecurity, high performance computing, additive manufacturing, digital twins, internet of things, mobility, robotics, virtual reality</t>
  </si>
  <si>
    <t>Artificial Intelligence EDIH Hungary</t>
  </si>
  <si>
    <t>European Digital Innovation Hubs (EDIH) aim to fulfil an active role in enhancing, fostering, and accelerating digital transformation and twin (green and digital) transitions. AI EDIH Hungary (AIEH) focuses on the key technology area of artificial intelligence supporting the exploitation of its the potential and targeting to increase national and European competitiveness and economic growth and technology sovereignty. The project aims to support the digital transition of companies (SMEs, small mid-caps, start-ups) and public sector organisations to create and implement AI-enabled products, services with special focus on seven priority industries. The activities of AIEH will reflect local stakeholders specific needs. Its operation will cover the whole territory of the country and include cooperation with fellow EDIHs just as with other relevant stakeholders. The AI EDIH project provides extensive, comprehensive end-to-end services to target groups, with other words the customer journey that enables clients to increase and deepen their AI-related general and specialized digital capacities by providing practice-oriented professional support and solutions for customized AI business application and implementation, financing opportunities, and marketisation. The centre of the AI EDIH' s intervention logic is a funnel-shaped comprehensive client journey: building basic interest and consciousness, sharing expertise, and providing support through the development of digital transformational project plans, supporting the realisation of the proof of concept and the construction of a prototype. The impact to be achieved is the increased digital and market maturity of the organisation and enhanced market creation potential. For each of the outcomes and impact, a quantified (numerical) target is defined. The project will be implemented by a consortium of high-ranking professional organisations including recognized key experts with in-depth practical knowledge and experience.</t>
  </si>
  <si>
    <t>Laszlo Gulyas</t>
  </si>
  <si>
    <t>Budapest, Váci út 35, 1134, Hungary</t>
  </si>
  <si>
    <t>https://aiedih.hu/</t>
  </si>
  <si>
    <t>automotive, consumer products, cultural and creative economy, education, energy, environment, financial, health care, legal aspects, life sciences, manufacturing and processing, metal working and industrial production, nmp nonmetallic materials basic processes, personal services, public administration, regulation, security, retail, wholesale or distribution, transport sector</t>
  </si>
  <si>
    <t>ecosystem building, finance, innovation management, knowledge transfer, prototyping, public sector innovation, sme business development, technological innovation, sme support, technology transfer</t>
  </si>
  <si>
    <t>artificial intelligence decision support, data, robotics, sensors vision processing systems, big data, human computer interaction</t>
  </si>
  <si>
    <t>Digital Innovation for Bavarian Industry</t>
  </si>
  <si>
    <t>DIBI focuses on the digitalization of the manufacturing industry as one of the most important economic sectors in Bavaria - despite progressive structural change. Its share amounts to more than 30% of GNP and it strongly affects other sectors. About 87% of the companies here are SMEs. They face severe transformation challenges due to digitalization, decarbonization, decrease of combustion drives, energy shortage, shortage of skilled staff and increase of costs. A second focus of the DIBI consortium lies on digital transformation of public authorities which still lack behind and hinder sustainable and citizen-friendly operations. Thus, DIBI aims to support manu-facturing-oriented companies (SMEs and small mid-caps), start-ups, and public organizations in Bavaria by stimulating, enabling, and accelerating digital innovations and therefore foster competitiveness and sustaina-ble solutions. The eight partners of EDIH DIBI consortium located in North, West and South of Bavaria are close to the customers in whole Bavaria. DIBI provides a portfolio of 100+ client services distributed over four cus-tomer-centric work packages and focusing on Analytics and AI, Digital powered Manufacturing and Cyber Re-silience. Already 64 services of them are available at project start and can be provided to other EDIHs on de-mand. Every service type is specified in a detailed price list (annex 1). Strong synergies will be leveraged by a structured collaboration with EEN Bavaria2Europe, also coordinated by BI. Pre-existing collaborations with a significant number of (E)DIHs have already established European corridors which can be built upon. KPIs are set to indicate the progress in numbers of served clients with basic/advanced services, while qualitative excel-lence will be monitored continuously. We expect significant long-term impact on the competitiveness of our target customers by providing knowledge transfer and skills development as well as test-based decisions for investments.</t>
  </si>
  <si>
    <t>Dominik Rother</t>
  </si>
  <si>
    <t>Am Tullnaupark 8, 90402 Nürnberg, Germany</t>
  </si>
  <si>
    <t>http://www.edih-dibi.com</t>
  </si>
  <si>
    <t>automotive, manufacturing and processing, metal working and industrial production, textiles, polymers and plastics</t>
  </si>
  <si>
    <t>ecosystem building, innovation management, field trial, sme support, technology transfer, finance, prototyping, vocational training, technological innovation</t>
  </si>
  <si>
    <t>artificial intelligence decision support, cybersecurity, additive manufacturing, digital twins, locationbased applications, robotics</t>
  </si>
  <si>
    <t>EDIH Digital Innovation for Healthcare (DIGICARE)</t>
  </si>
  <si>
    <t>The main objective of the EDIH DigiCare is to create one of the central service hubs in Europe for digitalization with the focus on healthcare. All its services and values will primarily support two target groups: SMEs in the healthcare sector and healthcare providers. DigiCare aims to decrease time to market for products that foster innovation through digitalization and match these solutions to the needs of patients and healthcare providers through our services. To help digital products and services to get faster on the market we will support the SMEs from the idea, throughout funding, business model generation, development, testing and evaluation, implementation, certification to market access and product life cycle. By faster delivering new healthcare products and services matched with the needs of our healthcare system, economic situation, growing and aging population and technological development, we can assure better and greener healthcare services for the public domain, faster and cost-effective solutions for the healthcare providers and the patients.Within the four sectors testing before investing, support to find investment, training and skills development, and networking and access to innovation ecosystems several support solutions that are regionally already available will be scaled to EU wide access by the consortium. This includes services for an EU wide mass access e.g. community platforms and digital training as well as matchmaking platforms with large educational programs with digital packages as well as individual coaching, open innovation challenges and real-world lab assessments. The region of Erlangen-Nuremberg (Mittelfranken/Middle Franconia) is perfectly suited for the role of a hub for digitalization in healthcare as it is one of the leading spots for innovation according to the European Innovation Scoreboard. Especially its renowned industry, university, science, and healthcare providers have a leading position in innovation in healthcare.</t>
  </si>
  <si>
    <t>Anna Goldsworthy</t>
  </si>
  <si>
    <t>Henkestraße 91, 91052 Erlangen, Germany</t>
  </si>
  <si>
    <t>automotive, financial, health care</t>
  </si>
  <si>
    <t>ecosystem building, sme support, innovation management, knowledge transfer, regional development, sme business development, technological innovation, technology transfer</t>
  </si>
  <si>
    <t>artificial intelligence decision support, big data, communication network, cybersecurity, digital twins, human computer interaction, internet of things, robotics, sensors vision processing systems, virtual reality</t>
  </si>
  <si>
    <t>EDIH Northern and Eastern Bohemia</t>
  </si>
  <si>
    <t>The main objective of EDIH NEB is to support the digital transformation of SMEs, start-ups, mid-caps, and public entities and to create the best possible conditions to ensure the long-term commercial success of all those involved by increasing their competitiveness, capacity for action, and effectiveness in processes, products, or services that use advanced digital technologies EDIH NEB is a significant part of the innovation infrastructure in the Liberec and Hradec KrÃ¡lovÃ© regions (CZ05 Northeast). In this respect, the natural industrial and research centres that are the cities of Liberec and Hradec KrÃ¡lovÃ© are important European hubs of support for research, development, and innovation. Moreover, the Liberec region is a world leader in the development of industrial technologies for the production of nanomaterials and related nanotechnologies. EDIH NEB concentrates on digitisation and artificial intelligence in connection with digital modelling, the simulation of technological processes, sensor technology, etc. The coverage of cooperation and services by the EDIH NEB consortium has 4 geographical dimensions. EDIH NEB primarily targets the territory of the Liberec and the Hradec KrÃ¡lovÃ© Region. The second catchment dimension of the unique and other digitisation services on offer is the rest of the Czech Republic. The third entirely fundamental geographical dimension, one which is absolutely unique within the Czech Republic in light of the geographical position of the Liberec and Hradec KrÃ¡lovÃ© regions in the border region with Poland and Germany, is expansion of the quality cooperation already in existence as part of what is known as Euroregion Nisa, and to some extent Euroregion Glacensis (Saxony, Lower Silesia, Opole). The fourth geographical dimension to the cooperation, exchange of experience, and offer of services which the EDIH NEB consortium brings takes the shape of other foreign cooperation within the territory of the EU, or indeed worldwide.</t>
  </si>
  <si>
    <t>Zdeňka Doležalová</t>
  </si>
  <si>
    <t>U jezu 525/4, 460 01 Liberec iv-perstyn, Czechia</t>
  </si>
  <si>
    <t>https://www.edih-northeast.cz/</t>
  </si>
  <si>
    <t>automotive, health care, manufacturing and processing, nmp nonmetallic materials basic processes, polymers and plastics, public administration, smart city, textiles, transport mobility</t>
  </si>
  <si>
    <t>circular economy, innovation management, knowledge transfer, prototyping, public sector innovation, regional development, smart specialisation strategies, sme business development, sme support, technological innovation, technology transfer, vocational training</t>
  </si>
  <si>
    <t>additive manufacturing, artificial intelligence decision support, cybersecurity, digital twins, industrial biotechnology, internet of things, internet services applications, laserbased manufacturing and materials processing, mobility, robotics, semiconductors and nanotechnology, simulation engineering and modelling, sensors vision processing systems, virtual reality</t>
  </si>
  <si>
    <t>Establishing High Performance Computing European Digital Innovation Hub in Hungary</t>
  </si>
  <si>
    <t>High performance computing (HPC) is one of the key issues in the Digital Europe Programme. The project will establish and implement a new HPC focused EDIH in Hungary in order to support SMEs, universities and public bodies to improve their activity, production, RDI processes with the use of the HPC technology. The HPC EDIH will provide them specific, free-of-charge technical consultancy, mentoring, training, test before invest services and testing facilities. The consortium has appropriate partner database, infrastructural background and HPC capacity for the supporting of EDIH activities. The main pillars of the EDIH are:
awareness rising (communication) activities and disseminations
offering HPC-as-a-Service for SMEs and other organizations
providing training, mentoring and consultancy for the partners.
The project consortium consists of three members: Governmental Agency for IT Development (KIFÜ) is the project leader, it is the Nr1 governmental organization in Hungary regarding HPC issues with strong infrastructural, professional and legal background. The state-owned Bay Zoltán Nonprofit Ltd. (BZN) and Institute for KTI Hungarian Institute for Transport Sciences and Logistics Non Profit Limited Liability Company are functioning as beneficiaries, they also have got a lot of experiences, well qualified experts, and existing cooperations in the fields of enterprise development, digitalization, research and innovation, technology transfers and transport. The main segmented target groups of the HPC EDIH are: - SMEs in the following sectors: medical research, agriculture, manufacturing industry, ICT, logistics and transport;
universities;
public bodies.
The goals of the HPC EDIH are in line with the EU and Hungarian strategies, policies, the project activities and planned KPIs are synchronized with these goals. The project is ready for launching, it has 5 work packages. The operation of HPC EDIH will have many positive impacts on the Hungarian (and EU) economy and society, synergies will open up in several themes.</t>
  </si>
  <si>
    <t>Lilla Luksik</t>
  </si>
  <si>
    <t>Budapest, Than Károly u. 3-5, 1119, Hungary</t>
  </si>
  <si>
    <t>https://www.kti.hu/projects/hpc-edih-eng/</t>
  </si>
  <si>
    <t>automotive, construction assembly, education, electricity, energy, energy, fuels and petroleum engineering, environment, health care, manufacturing and processing, metal working and industrial production, polymers and plastics, public administration, smart city, transport mobility, transport sector</t>
  </si>
  <si>
    <t>circular economy, ecosystem building, field trial, innovation management, knowledge transfer, prototyping, public sector innovation, regional development, smart specialisation strategies, sme business development, sme support, technological innovation, technology transfer</t>
  </si>
  <si>
    <t>artificial intelligence decision support, big data, cloud services, high performance computing, digital twins, locationbased applications, logistics, mobility, new technologies for audiovisual sector media, robotics, sensors vision processing systems, simulation engineering and modelling, software architectures, virtual reality</t>
  </si>
  <si>
    <t>EDIH Applied Cyber Physical Systems for manufacturing, construction and automotive sectors</t>
  </si>
  <si>
    <t>CPS (cyber-physical systems) represent a central part of digitization 4.0. These are systems in which information and software components are connected to mechanical components. data transfer and -exchange as well as the control and management via an Internet infrastructure take place in real time. Mobile and moving devices, devices and machines, including robots, embedded systems and networked objects interact. Around-the-clock availability and exceptional resilience are just two of the numerous advantages. The complexity of such an individual development and networking for companies requires in-depth know-how, which SMEs and start-ups usually lack. This is exactly where the EDIH Applied CPS comes in.
EDIH-Applied CPS is a network of technology leaders in Austria. Manufacturing, construction and mobility SMEs benefit from 33 tailor-made services for access to cyber-physical systems, in particular to:
- Sensor technology and embedded systems- Smart systems integration- Digital twinning and data usage- Blockchain and distributed ledger technology</t>
  </si>
  <si>
    <t>Martin Benedikt</t>
  </si>
  <si>
    <t>Inffeldgasse 21a, 8010 Graz, Austria</t>
  </si>
  <si>
    <t>https://www.applied-cps.at/</t>
  </si>
  <si>
    <t>automotive, construction assembly, energy, manufacturing and processing, metal working and industrial production, real estate, transport mobility, transport sector</t>
  </si>
  <si>
    <t>knowledge transfer, prototyping, technological innovation, technology transfer, ecosystem building, circular economy</t>
  </si>
  <si>
    <t>digital twins, blockchain and distributed ledger technology dlt, big data, cloud services, cyberphysical systems, cybersecurity, internet of things, human computer interaction, locationbased applications, mobility, sensors vision processing systems, semiconductors and nanotechnology, simulation engineering and modelling</t>
  </si>
  <si>
    <t>DEvelop Digital Innovation Hub to Create and Accompany new Trends in European inDustries in Bourgogne-Franche-Comté</t>
  </si>
  <si>
    <t>DEDIHCATED BFC is the EDIH for the Burgundy-Franche-Comté region (BFC). The BFC region is the leading French region in terms of industrial employment with strong specificities: automotive, transport and mobility, mechanics, mechatronics, plastics, agri-food, and energy. Despite a high-quality regional digital offer and skills, industrial SMEs are far from digitalization, due to fragmentation between the different regional structures and programmes, not very structured and organised links between digital and application market players, and lack of availability of skills in these areas.
The project create a one-stop-shop hub for industrial companies for their digital transition by offering them support and new services at reduced prices. DEDIHCATED BFC propose an innovative and added value approach based on the delivery of services in the form of an integrated pathway. Three thematic journeys have been designed in line with the industrial needs and a cybersecurity package :
1) From data to Artificial Intelligence for company management;
2) Digitalisation of business processes and production to the digital twin ;
3) Business skills training.
In addition to these advances services, and in view to meet the needs of SMEs far from the digitalisation, entry-level services (awareness, DMA, and basic services) will serve at entry-point of the hub.
Bringing together 13 partners, DEDIHCATED BFC ensure both a good access to the industrial SMEs in all the targeted sectors and in all the geographical areas; and a technological expertise and infrastructures to deliver the services. </t>
  </si>
  <si>
    <t>Noémie Dieumegard</t>
  </si>
  <si>
    <t>rue Armand Japy 15, 25460 Etupes, France</t>
  </si>
  <si>
    <t>https://www.vehiculedufutur.com/fr/dedihcated.html</t>
  </si>
  <si>
    <t>automotive, environment, manufacturing and processing, metal working and industrial production, agricultural biotechnology and food biotechnology, transport mobility, energy, polymers and plastics, agricultural biotechnology and food biotechnology, education</t>
  </si>
  <si>
    <t>finance, circular economy, ecosystem building, sme support, public sector innovation, regional development, sme business development, field trial, technological innovation</t>
  </si>
  <si>
    <t>artificial intelligence decision support, cybersecurity, digital twins, high performance computing, software architectures, big data, internet of things, internet services applications, mobility, simulation engineering and modelling</t>
  </si>
  <si>
    <t>European Digital Innovation Hub for Artificial Intelligence and Cybersecurity in Lower Saxony</t>
  </si>
  <si>
    <t>The DAISEC is a European Digital Innovation Hub (EDIH) for the metropolitan region of Hanover-Braunschweig-Göttingen-Wolfsburg in Lower Saxony, Germany. Our EDIH focuses on the development and application of artificial intelligence (AI) and cybersecurity technologies in three of the most important industry sectors of Lower Saxony, production, mobility, and skilled crafts. It also provides services for the public sector. The aim of the DAISEC is to increase the industrial reach and impact of the internationally leading research and innovation centers in the region and cater to the industrial demands for the introduction of modern AI technologies and increased cybersecurity. The hub strengthens the development and expansion of digital capacities and the acceptance of digital technologies in regional SMEs, start-ups, and in the public sector. For this, the DAISEC builds on the vast experience and competencies of major regional technology and innovation centers, the Mittelstand Digital competence centers in Hannover and Lingen, and a large number of regional economic development organisations. In addition, the consortium includes many trade and networking organisations that add to the networking and dissemination capabilities of the hub. This broad network of partners enables us to offer a wide-ranging and state-of-the-art portfolio of services in the areas of test before invest, skills and training, support to find investments, and networking.</t>
  </si>
  <si>
    <t>Daniel Kudenko</t>
  </si>
  <si>
    <t>Appelstrasse 4, 30167 Hannover, Germany</t>
  </si>
  <si>
    <t>https://daisec.de/en/</t>
  </si>
  <si>
    <t>automotive, manufacturing and processing, transport mobility, metal working and industrial production, public administration</t>
  </si>
  <si>
    <t>ecosystem building, finance, knowledge transfer, regional development, sme support, vocational training, sme business development, prototyping</t>
  </si>
  <si>
    <t>artificial intelligence decision support, big data, cybersecurity, robotics, digital twins</t>
  </si>
  <si>
    <t>Manufacturing Innovation Digital Advancement Services Hub</t>
  </si>
  <si>
    <t>MIDAS is dedicated to transforming the manufacturing sector through comprehensive digital and green innovation initiatives, with a primary focus on supporting Small and Medium-sized Enterprises (SMEs) within Turkey and the broader European Union framework. By establishing a European Digital Innovation Hub (EDIH) in Türkiye, MIDAS bridges the gap between cutting-edge digital technologies and the evolving needs of the manufacturing industry. The hub offers a wide array of services designed to enhance digital capabilities, foster innovation, and drive sustainable growth among SMEs.
Key Objectives and Services
1. Supporting Digital and Green Transformation
Digital Maturity Assessments: Evaluate the digital capabilities of 100 SMEs using advanced tools like DMA and SIRI to create tailored transformation strategies.
Training Programs: Enhance digital literacy and skills in AI, Big Data, Machine Learning, and Web 3.0 through targeted training initiatives.
Consultancy and Mentorship: Provide personalized consultancy to develop Digital Maturity Plans, access funding opportunities, and integrate innovative solutions.
Pre-Investment Testing: Offer a dedicated demo hub with the latest digital infrastructure, enabling SMEs to test and adopt suitable technologies before significant investments.
2. Increasing Organisational and Financial Capacities
Comprehensive Support Package: Provide access to digital tools that improve organizational efficiency, enhance marketing strategies, drive R&amp;D activities, and develop high-quality products while reducing costs.
Funding Access: Assist SMEs in navigating financial barriers by connecting them with funding sources such as SME loans, venture capital, angel investors, and government incentives through partnerships with ISTKA and ARI.
Workshops and Webinars: Conduct interactive workshops and webinars to share knowledge, best practices, and build a robust innovation ecosystem, engaging over 600 participants and providing hands-on training for 64 SMEs.
3. Collaborating with the European Digital Innovation Hubs Network
Networking and Collaboration: Establish strong connections with existing EDIHs across Europe, such as ITBaltic, to foster long-term partnerships and collaborative projects, enabling resource sharing and joint innovation initiatives.
Stakeholder Engagement: Unite key industries, organizations, regulatory bodies, startups, and SMEs to create a vibrant collaborative environment and produce policy recommendation papers based on empirical evidence.
International Research and Innovation Calls: Facilitate participation in prestigious programs like Horizon Europe, Eurostars, Eureka, Eranet, Digital Europe Program, TÜBİTAK, and KOSGEB, thereby increasing the visibility and competitiveness of Turkish SMEs on a global scale.</t>
  </si>
  <si>
    <t>İclal DEMİRTAŞ</t>
  </si>
  <si>
    <t>Yenibosna Mah. Sanayi Cad. Dış Ticaret Kompleksi, B Blok, 34197 Istanbul, İstanbul, Türkiye</t>
  </si>
  <si>
    <t>https://www.ihkib.org.tr/en</t>
  </si>
  <si>
    <t>textiles, manufacturing and processing, metal working and industrial production, polymers and plastics, consumer products, electricity, energy, environment</t>
  </si>
  <si>
    <t>sme business development, sme support, circular economy, ecosystem building, knowledge transfer, public sector innovation, regional development, smart specialisation strategies, technological innovation, technology transfer, vocational training, prototyping</t>
  </si>
  <si>
    <t>internet of things, additive manufacturing, laserbased manufacturing and materials processing, artificial intelligence decision support, bi tools, big data, cyberphysical systems, digital twins, displays, internet services applications, simulation engineering and modelling, sensors vision processing systems, robotics, chemical engineering plants, products, cloud services</t>
  </si>
  <si>
    <t>re_d: rethink digital - Central Poland Digitalisation Hub</t>
  </si>
  <si>
    <t>re_d (rethink digital Hub) is a Digitalisation Hub located in the region of Central Poland focusing on IoT/5G, cybersecurity, AI, VR/AR areas and open innovation channel, aiming at preparing SMEs to understand and implement technologies. Re_d is a combination of business institutions, academia, R&amp;D centers, business and startups.</t>
  </si>
  <si>
    <t>Anna Krawczyk</t>
  </si>
  <si>
    <t>Tymienieckiego 22G, 90-349 Lodz, Poland</t>
  </si>
  <si>
    <t>https://www.re-d.pl/</t>
  </si>
  <si>
    <t>textiles, telecommunications, construction assembly</t>
  </si>
  <si>
    <t>ecosystem building, field trial, innovation management, knowledge transfer, prototyping, technological innovation, sme business development, sme support</t>
  </si>
  <si>
    <t>internet of things, cybersecurity, artificial intelligence decision support, virtual reality, blockchain and distributed ledger technology dlt</t>
  </si>
  <si>
    <t>EDIH NWNL Digitalisation transformation on the road to AI and HPC</t>
  </si>
  <si>
    <t>The EDIH Digital Hub Noordwest (formerly EDIH NWNL) supports the regional SMEs on the use AI and HPC.
Digital Hub Noordwest is to provide support to SMEs to introduce and experiment with new key digital technologies for deployment in their business processes. Digital Hub Noordwest works together with and for SMEs, action driven and boosts the digital transition by offering facilities to built and test proof of concepts, enhance digital skills, built learning communities and help to find investments. 
We aim to build bridges between knowledge institutions, with expertise and manpower in AI and HPC technologies, and innovative SMEs. Together they will take a big next step in implementing these technologies in their day-to-day business.
Digital Hub Noordwest concentrates on four economic industries; Smart Industry, Smart Urban Health, Smart Agri and Smart Media, industries with a high impact on the regional economy.  The EDIH focuses on the regional economy of Northwest Netherlands (NWNL), which includes the Dutch provinces of Utrecht, Noord-Holland / North-Holland and Flevoland. Together with the highly ranked universities, universities of applied sciences, tech institutes, fieldlabs, trade associations and regional economic development agencies, Digital Hub Noordwest will focus on supporting as many as possible SMEs in applying AI and HPC.</t>
  </si>
  <si>
    <t>Reinoud Plantinga</t>
  </si>
  <si>
    <t>Euclideslaan 1, 3584 BL Utrecht, Netherlands</t>
  </si>
  <si>
    <t>https://edih-dhnw.nl/</t>
  </si>
  <si>
    <t>life sciences, manufacturing and processing, cultural and creative economy, agricultural biotechnology and food biotechnology</t>
  </si>
  <si>
    <t>field trial, technology transfer, prototyping, vocational training, sme support, ecosystem building, regional development, finance</t>
  </si>
  <si>
    <t>artificial intelligence decision support, virtual reality, high performance computing, additive manufacturing, new technologies for audiovisual sector media, robotics</t>
  </si>
  <si>
    <t>European Digital Innovation Hub Zagore - Synergy for Green Regional Digital Transformation of South-east region of Bulgaria]</t>
  </si>
  <si>
    <t>The EDIH Zagore-SynGReDiT project consolidates the strengths of the Region bringing 9 organisations and institutions: local authorities, businesses and their associations-member of EEN, academia, which complementary their expertise and experience not only to implement the project successfully but also to build technical and operational capacity of EDIH Zagore to provide the necessary services for twin green and digital transformation beyond the project end. The project creates the organisational, technical and infrastructural basis for breaking up rigid value chains by establishing a digital ecosystem. This results in greater flexibility, which leads to competitive advantages for companies in the region, securing the location and the future. Geographically the project covers South-East Region, NUTS II of Bulgaria, consists of 4 NUTS III districts - Burgas, Sliven, Stara Zagora, and Yambol. The cities of Burgas and Stara Zagora are among the 6 biggest cities in Bulgaria. The main challenge the SynGReDiT aims to address is the challenge of the overall change in the long-term established industrial traditions and business interdependencies of the SE Region’s economy towards decarburization and twin green and digital transformation of its SSS leading sectors:energy producing, manufacturing, agriculture, transport and health as well developing of already existing and attracting new ones on industrial symbiosis based. The main contribution of the project is towards reaching the DEP and EU Green Deal ambitious goals working for becoming climate neutral by 2050 as the Region's twin green and digital transformation in the energy and agro sectors has significant potential for that. Stara Zagora made the first step become the only one CEE-district Member of the EU Hydrogen Valley The project consortium has well balanced architecture that can help SynGReDit to reach its objectives and solve problems identified at regional level as well as to contribute to the EDIH Network</t>
  </si>
  <si>
    <t>Dr. Rumyana GROZEVA</t>
  </si>
  <si>
    <t>Gen stoletov 127, 6000 Stara zagora, Bulgaria</t>
  </si>
  <si>
    <t>https://edih-zagore.eu</t>
  </si>
  <si>
    <t>life sciences, health care, environment</t>
  </si>
  <si>
    <t>public sector innovation, regional development, sme support, smart specialisation strategies, innovation management</t>
  </si>
  <si>
    <t>high performance computing, internet of things, robotics</t>
  </si>
  <si>
    <t>The European Digital Innovation Hub for digital trust and emerging digital technologies</t>
  </si>
  <si>
    <t>With the adoption of digital technologies rapidly increasing, citizens are also leaving a stronger footprint in the digital world. At the same time, AI-based applications leverage the ability to integrate independent data trails from citizens for commercial use. But, this technological evolution is being ignited by the trend among customers to protect their data. Therefore: digital trust matters. The EDIH for Digital Trust in Liechtenstein aims to address this need for privacy by promoting digital innovations that set decentralization and data protection against centralization and intrusiveness. While data protection laws in Europe have often been resented as rigid, we see an exciting opportunity to promote digital technologies, solutions and business ideas that enable more digital trust between businesses, public institutions and citizens. That's why our EDIH focuses on four areas that inherently support this vision of greater digital trust: blockchain-/distributed ledger technology, regulation of emergent technologies, cybersecurity, and digital business model innovation. Our EDIH's service landscape covers the full SMEs journey from ideation through design/prototyping iterations to implementation of digital technologies and helping to find financing. The service landscape builds on the strong network of digital-liechtenstein.li, which offers leading expertise in the selected technological areas, accompanied by experience in supporting SMEs to implement digital technologies. Together, these strengths open up a fertile ground for SMEs to innovate, creating a competitive advantage for Europe in global markets.</t>
  </si>
  <si>
    <t>Patrick Stahl</t>
  </si>
  <si>
    <t>Wuhrstrasse 7, 9490 Vaduz, Liechtenstein</t>
  </si>
  <si>
    <t>https://www.digital-liechtenstein.li</t>
  </si>
  <si>
    <t>financial, manufacturing and processing, public administration, security</t>
  </si>
  <si>
    <t>ecosystem building, innovation management, knowledge transfer, sme business development, sme support, public sector innovation</t>
  </si>
  <si>
    <t>blockchain and distributed ledger technology dlt, cybersecurity, big data</t>
  </si>
  <si>
    <t>European Digital Innovation Hub applied Artificial Intelligence and Cybersecurity</t>
  </si>
  <si>
    <t>European Digital Innovation Hub applied Artificial Intelligence and Cybersecurity (EDIH-AICS) aims at advancing the vision of a secure and sustainable European artificial intelligence technology in the fields of production, mobility, energy, commerce &amp; services as well as public administration to strengthen their competitiveness and to bring benefits to society. While technologies like Artificial Intelligence (AI) or Cybersecurity (CS) are becoming game changer for products, services and business models, especially SMEs are not yet ready to implement such technologies. Addressing this gap the EDIH-AICS is being set up to help companies and public sector organisations (PSO) with their digital transformation. The EDIH-AICS consortium, consisting of research institutions, transfer organisations, regional economic agencies, business networks and clusters, builds on a long-term experience in digital technologies and is deeply rooted in the regional, national and European ecosystem. The EDIH-AICS project will: • operate as a one-stop shop and as a coordinated group of organisations with complementary expertises in AI and CS, to meet the digital transformation needs of SMEs and PSOs in the fields of test before invest, skills &amp; training, access to finance and innovation ecosystem &amp; networking activities, in Baden-Wuerttemberg, Germany as well as across Europe. • attract new stakeholders (SMEs, mid-caps, PSOs) to implement digital technologies by targeted outreach activities via own networks and multipliers (e.g. EEN). • maintain and intensify long-term relationships with key players on the local level (e.g. chamber of commerce, SME associations) and act as a reference point for AI &amp; CS within the regional, national (EDIH-AICS integrates the German de:hub applied AI) and European ecosystem. • collaborate with other EDIHs and the Digital Transformation Accelerator to provide AICS expertise to the network and find the best support for ‘customers’ across Europe.</t>
  </si>
  <si>
    <t>Iuliana Nichersu</t>
  </si>
  <si>
    <t>Haid-und-neu-straße 10-14, 76131 Karlsruhe, Germany</t>
  </si>
  <si>
    <t>https://edih-aics.eu/</t>
  </si>
  <si>
    <t>transport mobility, energy, manufacturing and processing, public administration, retail, wholesale or distribution</t>
  </si>
  <si>
    <t>technological innovation, ecosystem building, knowledge transfer, innovation management, prototyping, public sector innovation, sme business development, technology transfer</t>
  </si>
  <si>
    <t>Hub for the Digital MObility TransformatION</t>
  </si>
  <si>
    <t>In recent years there have been countless advances in connected and cooperative systems for transport and mobility, which are however outlining a paradox: together with the developments underway, challenging and articulated technological needs are emerging, so much so as to make the goal of sustainable, efficient and safe mobility more and more complex to achieve. Indeed, the availability of the technologies necessary for an interoperable implementation of large-scale solutions is only the beginning of a long journey, which cannot ignore economic, market and competitiveness considerations for the involved industries, SMEs and public administrations. The resolution of this paradox is the main objective of the HD-MOTION Hub (HUB for the Digital Mobility Transformation): the ambition to make a great technological leap forward, giving a rapid acceleration to the development of enabling technological solutions, targeting them on innovation and the digitization of sustainable mobility and transport services. SMEs (especially those involved in technology transfer) will be among the end users of the Hub, together with the Public Administration, its services (for example, Public Transport) and citizens. Through the virtuous collaboration of academia, industry and the entire innovation ecosystem, the result of a growth in the competitive capabilities of companies on the Italian territory will be achieved, bridging the technological deficits of innovation and digitization that today penalize them on the European market and world. Through the creation of networks of companies and innovation hubs in the sectors of vehicle production, digital infrastructures and Digital Transportation Systems, basic training and the development of new skills will be implemented, facilitating entry and relocation on the market of the work. At the same time, and in a virtuous circular manner, significant impacts will be generated on the environment and on the users of mobility services.</t>
  </si>
  <si>
    <t>Matteo Bandiera</t>
  </si>
  <si>
    <t>Corso Settembrini 178, 10135 Torino TO, Italy</t>
  </si>
  <si>
    <t>transport mobility, smart city, automotive, environment, transport sector</t>
  </si>
  <si>
    <t>public sector innovation, sme support, finance, ecosystem building</t>
  </si>
  <si>
    <t>mobility, artificial intelligence decision support, internet of things, cybersecurity, high performance computing</t>
  </si>
  <si>
    <t>POLO REGIONALE PER L'INNOVAZIONE DIGITALE EVOLUTA</t>
  </si>
  <si>
    <t>PRIDE – Polo Regionale per l’Innovazione Digitale Evoluta (Regional Pole For Advanced Digital Innovation) intends to support the digital transformation of the SMEs operating in strategic sectors of Campania (transport, biotech, utility, agri-food, fashion). PRIDE will offer services capable of supporting and accelerating the digital transformation of the region’s economy and industry in Campania, allowing businesses, citizens and public administrations to benefit from its advantages. PRIDE aims at addressing these challenges:1) Create the Regional Supply Chain of Digital Services according to a Hub and Spoke model 2) Accelerate the digital transition of strategic regional production systems through an offer at discounted prices (indirect incentives) of qualified and differentiated services to support SMEs and PA investments in cutting-edge 4.0 technologies and by improving access to innovative financial instruments 3) Support human capital qualification processes towards the development of advanced digital skills 4) Promote a Sustainable digitalization by building Digital Communities in synergies with European, national and regional policy on digitization and 4.0 technologies including S3. This will be achieved by a) activating the critical mass of skills and instrumental resources capable of generating a flexible and modular service platform through consortium partners (CAMPANIA DIH, MEDITECH,CERICT,DIITET-CNR ) and b) implementing a 36-month workplan encompassing 5 work packages: the first transversal to ensure the coordination and monitoring of activities and the others functionalized to achieve specific competing objectives to implement PRIDE’s mission: that is to support the DX of the SMEs and PAs in the Campania Region by promoting the use of solutions based on ADTs, also in combination with KETS. It is estimated that 350 SMEs and 10 PAs will benefit from PRIDE's services which will foster processes of environmental sustainability and social inclusion.</t>
  </si>
  <si>
    <t>Edoardo Imperiale</t>
  </si>
  <si>
    <t>Piazza dei martiri 58, 80121 Napoli NA, Italy</t>
  </si>
  <si>
    <t>transport mobility, public administration, energy, environment, textiles, agricultural biotechnology and food biotechnology, health care, food and beverages</t>
  </si>
  <si>
    <t>ecosystem building, knowledge transfer, sme support, technology transfer</t>
  </si>
  <si>
    <t>Digital Innovation Hub for Climate Neutrality</t>
  </si>
  <si>
    <t>The DIH4ClimateNeutrality’s mission is to accelerate the transition of cities to smart, resilient and carbon neutral urban spaces, through the use of big data and digital technologies, to improve sustainability and citizens’ quality of life. The Hub aims to become a national and European reference on digital transformation at the service of climate action. The DIH will provide access to digital competences, infrastructures and services to the following target groups, answering to their digitalization needs: local governments, companies who develop smart and sustainable city solutions, namely SMEs, mid-caps and start-ups, and communities (mainly students). The DIH4CN will be centred on urban science for sustainability, using digital skills and technologies to enhance the transition towards carbon neutrality. The technological coverage of the hub are Internet-of-Things/Cyber-physical Systems, Artificial Intelligence and Data Analytics. Other relevant digital technologies, such as data confidentiality, cybersecurity and High-Performance Computing will be assessed throughout the DIH’s network of partners, for ex. Minho Advanced Computing Centre, and the European network of DIH. DIH4CN has a national scope, providing services for all the Portuguese regions, but it also acts as an access point to the European Network of Digital Innovation Hubs, helping local companies and the public sector to get support from other EIDHs, and vice-versa. In this context, networking and innovation ecosystem, test-before-invest, training and skills development, and innovation support and business development are the main services to be provided by the DIH4CN, to enhance the green and digital transformation of companies and the public sector, as well as and the introduction of low-carbon digital-based innovations in the market. In the context of the EDIH network, the Hub will collaborate with the Digital Transformation Accelerator, and EDIH sub-networks and innovation corridors.</t>
  </si>
  <si>
    <t>CATARINA VARELA A BATISTA SELADA</t>
  </si>
  <si>
    <t>Av. D. Afonso Henriques, 1825, 4450-301 MATOSINHOS, Portugal</t>
  </si>
  <si>
    <t>http://www.ceiia.com</t>
  </si>
  <si>
    <t>transport mobility, environment, smart city, public administration, education, communityled local development</t>
  </si>
  <si>
    <t>field trial, prototyping, public sector innovation, innovation management, regional development, technology transfer, vocational training</t>
  </si>
  <si>
    <t>big data, cyberphysical systems, internet of things, artificial intelligence decision support, digital twins, internet services applications, human computer interaction, mobility</t>
  </si>
  <si>
    <t>Digital Innovation Hub Normandy Advanced MObility</t>
  </si>
  <si>
    <t>Benjamin Cheret</t>
  </si>
  <si>
    <t>8 rue Leopold Sedar Senghor, 14460 Colombelles, France</t>
  </si>
  <si>
    <t>transport mobility, automotive, smart city, travel and tourism, public administration</t>
  </si>
  <si>
    <t>knowledge transfer, technology transfer, sme support, technological innovation, public sector innovation, regional development, finance, sme business development, vocational training</t>
  </si>
  <si>
    <t>artificial intelligence decision support, big data, mobility, logistics, high performance computing, cybersecurity, internet of things, internet services applications, additive manufacturing</t>
  </si>
  <si>
    <t>Digital Marine Hub</t>
  </si>
  <si>
    <t>DMH aims at promoting and facilitating the digital transformation in the nautical and yachting sector, with specific attention both to vessels and infrastructures: boatbuilding, maintenance, and operations. Although the nautical sector is a market in continuous growth in the last eight years, in spite of the pandemic, design and production process in the sector are still MH aims at promoting and facilitating the digital transformation in the nautical sector and in the boat's construction in particular. The rationale behind the choice is that, although being a market in continuous growth in the last eight years, in spite of the pandemic, the design and production processes in the sector are still rather traditional. The size of the companies, often very small, together with the highly customized products hamper the introduction of new technologies. The introduction of digital technologies in the sector has a strong potential in terms of innovation of the products and of the production processes, thus reducing costs and improving competitiveness. But in this historical period, the strong concern about climate change and the particular attention towards the emission reduction from the waterborne sector represent further drivers for the introduction of new solutions enabling reduced GHG emissions and more environmentally friendly products and production processes, in the context of the circular economy. DMH will offer services mainly in HPC and AI techniques. The project gathers together large Universities and Research institutions, a worldwide relevant computing center, SME, business incubators and business angels, technology clusters and industrial associations, an NGO in the field of sustainable development of the Mediterranean. The proposed Hub is widely distributed in Italy with its strong presence in the Italian regions where the concentration of the potential users is the highest and those have the maritime sector as one of the smart specialization strategies.</t>
  </si>
  <si>
    <t>Alessandro IAFRATI</t>
  </si>
  <si>
    <t>Piazzale aldo moro 7, 00185 Roma RM, Italy</t>
  </si>
  <si>
    <t>maritime, transport mobility, communityled local development, defence, environment, public administration, travel and tourism, fishery</t>
  </si>
  <si>
    <t>ecosystem building, field trial, finance, innovation management, prototyping, knowledge transfer, smart specialisation strategies, public sector innovation, sme business development, sme support, technological innovation, technology transfer, circular economy, regional development, vocational training</t>
  </si>
  <si>
    <t>simulation engineering and modelling, artificial intelligence decision support, digital twins, high performance computing, robotics, additive manufacturing, logistics, cybersecurity, mobility, locationbased applications</t>
  </si>
  <si>
    <t>Hungarian DATA EDIH</t>
  </si>
  <si>
    <t>The Hungarian DATA EDIH will actively facilitate the digital transformation of the SMEs, small mid-caps, and public sector organisations in Hungary, with a general focus on data-related services and industrial focus on the health industry.
The DATA EDIH consortium represents high academic and practical technical/business development competence, wide domestic and international network and mature EU grant and PM experience. The most challenging DESI dimensions for Hungary remain the Integration of digital technology and digital public services, where attitude, mindset and competence obstacles occur besides financial ones. DATA EDIH will provide trainings, technical and financial services on both catching up and advanced levels.
The activity of DATA EDIH will be built on existing elements of innovation ecosystem, so the interconnectivity and coordination of the system elements with the other EDIHs in Hungary creates a mature and cost-effective status to implement the planned project.</t>
  </si>
  <si>
    <t>Péter Szabó</t>
  </si>
  <si>
    <t>Budapest, Rákóczi út 70-72. 6. em., 1074, Hungary</t>
  </si>
  <si>
    <t>https://adatedih.hu</t>
  </si>
  <si>
    <t>health care, food and beverages</t>
  </si>
  <si>
    <t>innovation management, prototyping, sme business development, technological innovation</t>
  </si>
  <si>
    <t>big data, artificial intelligence decision support, digital twins, internet of things, sensors vision processing systems, software architectures, robotics</t>
  </si>
  <si>
    <t>European Digital Innovation Hub Corsica.ai</t>
  </si>
  <si>
    <t>EDIH Corsica.ai specialises in a digital hub for AI for Corsica and the Mediterranean area. This EDIH consists of a consortium of 6 companies and associations who will propose the following services: -Led by Aflokkat and including contributions from ESTIA, a digital training service offer for continuous and professional development will specialise in AI and robotics. -Coordinated by Corsica.ai and partners ESTIA and SITEC, will propose an R&amp;D prototyping offer in AI including needs evaluation, data analysis, prototyping, impact analysis and documentation delivery. -Led by FemuQuì Ventures, investment research services will be provided including seed funds for R&amp;D projects, investment guidance, and Matchmaking Venture Capitalist events. -Led by GoodBarber and including services from SITEC, EDIH Corsica.ai’s service offering will be rounded out with a series of Innovation &amp; Networking services including thematic conferences on the subject of the digital transition, a Start-Up Studio, and the provision of a 10Gb/s global connectivity offer. All services will be made available to both private SMEs and the public sector in the Corsican region and throughout Europe, in concertation with other French and European EDIHs. Through an online collaborative platform, the consortium will make available their service offerings, prices, and upcoming events. The principal objective of the EDIH Corsica.ai is to provide Corsica with a resilient and high-level technological hub enabling it to make its digital transition within a national and European framework. In addition to the above services, which will equip the local SMEs and public institutions with the tools necessary to compete at the European and international level, the EDIH Corsica.ai will actively contribute to the EDIH ecosystem including the DTA and other EDIHs, notably through the French EDIH Corridor and the iSLANDIHs initiatives.</t>
  </si>
  <si>
    <t>Benjamin Pereney</t>
  </si>
  <si>
    <t>Centre a stella lieu-dit effrico, 20167 Sarrola carcopino, France</t>
  </si>
  <si>
    <t>https://www.corsica.ai/</t>
  </si>
  <si>
    <t>health care, financial, education, public administration</t>
  </si>
  <si>
    <t>vocational training, technology transfer, finance, ecosystem building, prototyping</t>
  </si>
  <si>
    <t>internet services applications, artificial intelligence decision support, robotics</t>
  </si>
  <si>
    <t>European Digital Innovation Hub Schleswig-Holstein</t>
  </si>
  <si>
    <t>The European Digital Innovation Hub Schleswig-Holstein (EDIH.SH) aims to increase sustainability by creating new or novel digital solutions at process and product level using digital innovation. Economic, ecological and social aspects must be taken into account to be able to systematically evaluate those possible gains and implement them. Digital innovations will be created here through the interaction of a wide range of players from business, government and other relevant stakeholders. Key areas of focus are artificial intelligence (AI), high-performance computing (HPC), cybersecurity, Internet of Things (IoT), sensor technology, interoperability and deeper digitalisation. The co-creation based approach is an interactive and reflexive process in which a range of possibilities in those key areas are explored and translated into concrete innovation projects. The EDIH.SH will accompany the process from the generation of innovation potentials and ideas, examination of those ideas for economic and technical feasibility, to the creation of technical implementation concepts and the first prototypical implementation. The EDIH.SH offers funding and financing possibilities and individual consulting as the implementation of innovative ideas in new products, processes and services requires a high financial effort. With its free services, the EDIH.SH focuses on small and medium-sized enterprises as well as public administration organisations from the maritime and life science sectors, which are particularly significant for Schleswig-Holstein.  The digital platforms established as part of the EDIH.SH ensure the efficient collaboration of all stakeholders in joint R&amp;D activities, idea generation and projects. The focus is always on enabling or shaping the successful transfer of expert knowledge into real value creation. A consortium of universities and the IB.SH will pool their expertise and resources to drive innovation in Schleswig-Holstein. </t>
  </si>
  <si>
    <t>Björn Lehmann-Matthaei</t>
  </si>
  <si>
    <t>Schwentinestrasse 24, 24149 Kiel, Germany</t>
  </si>
  <si>
    <t>http://edih-sh.de</t>
  </si>
  <si>
    <t>health care, life sciences, maritime, public administration, smart city</t>
  </si>
  <si>
    <t>technology transfer, finance, ecosystem building, innovation management, knowledge transfer, public sector innovation, sme business development, sme support, technological innovation</t>
  </si>
  <si>
    <t>additive manufacturing, artificial intelligence decision support, communication network, cyberphysical systems, digital twins, high performance computing, human computer interaction, internet of things, logistics, mobility, robotics, sensors vision processing systems, software architectures, virtual reality</t>
  </si>
  <si>
    <t>Health Data Sweden</t>
  </si>
  <si>
    <t>Digital health can make healthcare safer and more efficient, and provide high-quality care. For digital health to reach its potential, it is vital that innovators and providers gain from the benefits of health data. EDIH Health Data Sweden (HDS) will support this by providing services that enable SMEs and the public sector to improve health data use, while also improving access to it. With a mature ecosystem of 16 partners active in the field, HDS will contribute to secure digital health services of the future, with focus on health data and high-quality, accessible and sustainable healthcare/welfare services for European citizens. HDS integrates two EDIH candidates (HDS and Health Innovation of Sweden) from Stage 1 of the call into one with a nationwide system of services for SMEs, small mid-caps and the public sector. The aim is to cover the complete value chain in digital health, allowing users to benefit by covering entry-level users and services related to health data as well as more complex development aimed at preparing for future development of the field. HDS is a hub composed of regions, universities, innovation hubs, research institutes, and science parks, all playing a leading role in Swedish and European healthcare: KTH Royal Institute of Technology (KTH, coordinator); Blekinge Digital Health Blue Science Park (BDH); Bron Innovation (BI); Compare/DigitalWell Arena (DWA); EIT Digital (EITD; EIT Health Scandinavian CLC (EITH); Halmstad University/Leap for Life (HU); Karolinska Institutet (KI); Linnaeus University (LNU); Livsmedicin Region Västerbotten (LM); Region Stockholm (RS); Region Kalmar län/ eHealth Arena (eHA); Stockholm University (SU); Stockholm Science City (SSCi); STUNS Life Science (STUNS) and Uppsala University (UU). The goal is to have 1700 Swedish and 200 European SMEs/mid-caps, and 455 Swedish and 95 public-sector organisations utilising our services by end of the 3-year project.</t>
  </si>
  <si>
    <t>Sebastiaan Meijer</t>
  </si>
  <si>
    <t>Brinellvagen 8, 100 44 Stockholm, Sweden</t>
  </si>
  <si>
    <t>health care, life sciences, personal services, public administration</t>
  </si>
  <si>
    <t>ecosystem building, innovation management, knowledge transfer, public sector innovation</t>
  </si>
  <si>
    <t>artificial intelligence decision support, big data, cybersecurity, digital twins, high performance computing, simulation engineering and modelling</t>
  </si>
  <si>
    <t>HEALTH HUB - Healthcare &amp; Pharmaceutical Industry Transformation through Artificial Intelligence Digital Services</t>
  </si>
  <si>
    <t>Sustainable digital societies are key in ensuring the long-term competitiveness of the EU economy. Digital solutions which focus on people and provide innovative opportunities for companies, social and democratic development are needed to secure digital and green transition of the EU. Digital transformation is the only way for healthcare systems to become more citizen-friendly while simultaneously changing their operations, culture, and use of technology. Greece’s digital transformation performance has been improved but remains well below the EU average (ranked 27 out of 28). The majority of companies surveyed (by Foundation and EIT Digital) recognize the importance of digital transformation, as 90.2% have either initiated or intend to activate a digital transformation roadmap immediately. 
The candidate Health Hub aspires to lead the digital transformation of Greek SMEs, MidCaps, Public Sector Organisations. "Health Hub: Healthcare &amp; Pharmaceutical Industry Transformation through Artificial Intelligence Digital Services" is a candidate EDIH based in Thessaly region. It represents a collaboration of 3 public bodies, 6 universities, 4 research institutions and organizations, 2 technology organizations, 3 healthcare providers and 6 business support organizations. In addition to Thessaly, Health Hub will also have antennas in 6 regions across Greece: Ionian Islands, Aegean, Western Greece, Attica, Central Macedonia and Crete, through which it will deliver digital transformation services to SMEs and public organizations of the health and pharma sector using AI technologies. Health Hub guarantees that health companies and public administration have access to know-how, training, technologies, infrastructure, and laboratories to improve and accelerate their digitalization. Health Hub will reach out to more than 2,000 beneficiaries and support the digital transformation of at least 160 by providing a complete set of services.</t>
  </si>
  <si>
    <t>Maria Pournari</t>
  </si>
  <si>
    <t>Valtetsiou and Tripoleos, 41336 Larissa, Greece</t>
  </si>
  <si>
    <t>https://ied.eu/about/health-hub/</t>
  </si>
  <si>
    <t>health care, life sciences</t>
  </si>
  <si>
    <t>ecosystem building, innovation management, knowledge transfer, public sector innovation, regional development, sme business development, sme support, technological innovation</t>
  </si>
  <si>
    <t>artificial intelligence decision support, communication network, data, virtual reality</t>
  </si>
  <si>
    <t>HealthHub Finland - the future of Healthcare shaped by a Hub of partners facilitating data-driven digital solutions in Finland and Europe</t>
  </si>
  <si>
    <t>Your partner in digital healthcare solutions
HealthHub Finland is a one-stop-shop for the development of digital solutions for health and wellbeing, and a gateway to Finnish health and wellbeing data. For SMEs and public sector organisations across the European Union, we offer subsidised or free test-before-invest and innovation services, financing advice, training and skills development. With our tailored service packages created by our industry experts, we enable you to turn your vision into reality.
We are a national non-profit public-private consortium that brings together experts and resources from Finland’s most prominent health ecosystems in the cities of Turku, Oulu, Tampere, Kuopio and Kajaani and the national Finnish Biobanks – FINBB cooperative.</t>
  </si>
  <si>
    <t>Henrik Honkanen</t>
  </si>
  <si>
    <t>Joukahaisenkatu 3a, 20520 Turku, Finland</t>
  </si>
  <si>
    <t>field trial, finance, innovation management, prototyping, public sector innovation, sme business development, sme support, technological innovation</t>
  </si>
  <si>
    <t>artificial intelligence decision support, big data, industrial biotechnology, cybersecurity, high performance computing, virtual reality</t>
  </si>
  <si>
    <t>DIGITAL INNOVATION ZONE EDIH - MANUFACTURING &amp; SMART HEALTH for better business, life and health in the North East Romania region</t>
  </si>
  <si>
    <t>eDIH-DIZ is a 9 partners consortium covering North-East Romania and aims to support successful and sustainable digital and green transformation of the region by strengthening the capacities of the only fully-operational DIH Digital Innovation Zone in the region. Since Romania in general, and the North-East region in particular, ranks 27th out of 27 member states in the EU DESI profile for the past years, and the region's competitivity is on the last place in Romania and one of the worst 10 performers in the EU, the successful functioning of an EDIH will directly impact the Digital Europe programme strategic objectives to support achievement of EU digital targets. A complete set of EDIH services will be provided in order to: - support local SMEs (mainly from manufacturing &amp; healtchare) and public healthcare institutions increase their digital maturity through targeted programs, - offer them access to relevant test before invest and experimentation facilities for Artificial Intelligence and other key enabling technologies, and their use cases in healthcare and manufacturing, - help them develop internal capabilities (employee upskilling) that will lead to successful digital transformation, while guiding them to overcome access to finance barriers, - connect the region with the EDIH EU network, by developing corridors for missing regional expertise, - create synergies for the region with the EIT Health network, other EIT KICs, Enterprise Europe Network, prestigious research &amp; innovation organizations in the field of AI, - continuously grow the community by integrating relevant stakeholders, for the benefit of the region and of the target group. Consortium strength (academia, technology transfer, research, policy maker entities, target group representatives and digital private actors) will lead to EDIH target achievement for 2021-2023 and set the right ground for further developing hub outreach, sustainability and regional impact beyond the project end.</t>
  </si>
  <si>
    <t>Cristina Baghiu</t>
  </si>
  <si>
    <t>B dul Dumitru Mangeron 67, 700050 Iasi, Romania</t>
  </si>
  <si>
    <t>https://www.digital-innovation.zone/</t>
  </si>
  <si>
    <t>health care, manufacturing and processing, public administration, textiles, transport mobility, automotive, construction assembly, education</t>
  </si>
  <si>
    <t>ecosystem building, circular economy, field trial, finance, innovation management, knowledge transfer, prototyping, regional development, smart specialisation strategies, sme business development, technology transfer, vocational training</t>
  </si>
  <si>
    <t>additive manufacturing, artificial intelligence decision support, digital twins, internet of things, virtual reality, cloud services, blockchain and distributed ledger technology dlt, cybersecurity, communication network, mobility, robotics, sensors vision processing systems, simulation engineering and modelling, software architectures, industrial biotechnology, laserbased manufacturing and materials processing, high performance computing</t>
  </si>
  <si>
    <t>Artificial Intelligence for Smart Healthcare and Medicine</t>
  </si>
  <si>
    <t>Croatian healthcare system is faced with the lack of access to smart digital solutions for health data management and AI-based support for informed decision-making, as well as a shortage of digitally empowered medical staff capable of using AI-based digital health solutions. To address this gap, AI4Health.Cro will offer a comprehensive support to businesses and public entities with advanced AI-based services and technologies, addressing the current needs of the healthcare and public health systems for digital transformation. Specifically, AI4Health.Cro will offer services related to (i) digital health innovation development, (ii) testing of AI-based solutions and standards in strategic topics in digital healthcare, (iii) providing education in AI and HPC for healthcare and medicine, as well as in business and innovation skills. Furthermore, through networking, AI4Health.Cro will actively collaborate with other EDIHs, relevant networks, initiatives and other stakeholders to facilitate digital transformation of healthcare system and organizations, SMEs and small mid-caps, through digital skills training and improved access to advanced digital services, ensuring the needed support throughout the EU. In this way, AI4Health.Cro will play a brokering role between health organizations and companies to develop and uptake AI-based digital health solutions. This role is further supported by the Digital Transformation Accelerator (DTA) for matchmaking, training and capacity building.</t>
  </si>
  <si>
    <t>Anja Baresic</t>
  </si>
  <si>
    <t>Bijenicka cesta 54, 10000 Zagreb, Croatia</t>
  </si>
  <si>
    <t>https://ai4healthcro.eu/</t>
  </si>
  <si>
    <t>health care, education</t>
  </si>
  <si>
    <t>ecosystem building, finance, technology transfer, sme support, public sector innovation, prototyping, knowledge transfer</t>
  </si>
  <si>
    <t>artificial intelligence decision support, high performance computing, internet of things, digital twins, big data</t>
  </si>
  <si>
    <t>European Digital Innovation Hub for Smart Health: Precision Medicine and Innovative E-health Services</t>
  </si>
  <si>
    <t>The European Digital Innovation Hub on Precision Medicine and Innovative E-health Services (smartHEALTH) brings together internationally leading expertise in the areas of Artificial Intelligence, Cybersecurity, and High Performance Computing, to assist digital transformation and foster innovation in digital health. Its flagship service areas are precision medicine, cancer, and public sector digital transformation. smartHEALTH is in alignment with the vision for Europe’s digital transformation by 2030, by supporting the four pillars of Europe’s Digital Compass: i) Skills, ii) Digital transformation of businesses, iii) digitalisation of public services and iv) secure and performance sustainable digital infrastructures, and The Global Action Plan for Healthy Lives and Well-being for All. Based in Crete, it has nodes in 8 of the 13 regions in Greece, that have been strategically selected as they exhibit major economic &amp; entrepreneurial activity in digital health, and the largest part of the public sector. smartHEALTH offers an integrated set of: i) test before invest services to clients from the private and public sectors, ii) advanced digital skills development to the healthcare ecosystem, iii) support to find investments by triggering additional investments of €30M to SMEs and public organizations through public and private sources, and iv) ecosystem building and networking to create new collaborations between industry, academia, research, public sector &amp; civil society. Specialized expertise for digital transformation will be offered in precision medicine, biomedical informatics, diagnostic imaging, telehealth, administrative automation &amp; digitization, integrated healthcare, personalized care delivery, social care and welfare management. Within the wider EDIH network, smartHEALTH fosters collaborations and networking to offer clients access to innovation and outreach beyond the national borders.</t>
  </si>
  <si>
    <t>Dimitris Plexousakis</t>
  </si>
  <si>
    <t>Nik. Plastira 100, 70013 Irakleio, Greece</t>
  </si>
  <si>
    <t>https://smarthealth-edih.eu/en/homepag/</t>
  </si>
  <si>
    <t>health care, life sciences, public administration</t>
  </si>
  <si>
    <t>sme support, knowledge transfer, sme business development, technological innovation, ecosystem building, technology transfer, public sector innovation, finance</t>
  </si>
  <si>
    <t>Digital Health Portugal - From Portugal to the Digital World</t>
  </si>
  <si>
    <t>DigiHealthPT is dedicated to support the digital transformation in the Health sector, namely on the SmartHealth segment, which includes the application of wide-spectrum of technologies for improved cost-effectiveness and health provision. With a broad national coverage (Portugal) and a European scope, DigiHealthPT focuses on the application of Artificial intelligence and Cybersecurity in Health to respond to the emerging needs of startups and SMEs, supporting innovation and digital transition, and of the public sector, promoting the adoption and use of digital solutions. The hub is also devoted to empowering the population and health professionals in the digital transformation process by fostering digital and health literacy. Grounded in a coherent, multidisciplinary and agile structure and with the complementary competences from 30+ partners – universities, research institutes, technology centres, hospitals – the 7 consortium members - Health Cluster Portugal, EIT Health, Fraunhofer Portugal AICOS, Glintt, IPN – Automatics Lab, Value4Health Colab and IPN-Incubadora – are committed to jointly uphold the modernization of the health sector. By capitalising their involvement in national and international networks and previous experience in the setup of DIHs and in the provision of services, DigiHealthPT members will support the digital innovation strategy for Health, in line with major trends (e.g. tech-enabled healthcare, open innovation, data-driven prediction, patient 2.0, value-based healthcare) and with the European policy objectives and strategy. The hub will provide a unique portfolio of either on demand customized services or call-based programmes in 4 major application areas: Access to experimentation and testing, Training, Support to Find Investment, and Innovation ecosystem building and networking, to accelerate innovation and create new products and services that can ultimately benefit the national health systems and the citizens.</t>
  </si>
  <si>
    <t>Patrícia Patrício</t>
  </si>
  <si>
    <t>Lionesa Business Hub, Rua da Lionesa 446 Loja K, 4465-671 Leça do Balio, Portugal</t>
  </si>
  <si>
    <t>ecosystem building, finance, field trial, innovation management, knowledge transfer, prototyping, public sector innovation, regional development, sme business development, sme support, technological innovation, technology transfer, vocational training</t>
  </si>
  <si>
    <t>artificial intelligence decision support, cybersecurity, high performance computing, internet of things, robotics</t>
  </si>
  <si>
    <t>ConsTanta INNovation Hub, a center for the digital transformation of SMEs and PSOs in SE Romania - CiTyInnoHub</t>
  </si>
  <si>
    <t>CiTyInnoHub reunites six organisations with complementary expertise. It is established to contribute actively to the digital transformation of regional SMEs, to increase their competiveness, and to PSOs, to improve the quality of the services provided to communities. The consortium consists of a comprehensive university, as orchestrator, a regional Chamber of Commerce, an association of SMEs, an association of PSOs, and two consulting firms active in the innovation sector. With contributions from national and international collaborators, the hub will develop a regional digitalisation ecosystem, fostering innovation and entrepreneurship in the in SE area of Romania. The services performed by CiTyInnoHub are four-fold. Test before invest tasks include digital maturity assessments, design and implementation of digital transformation plans, testing and experimentation of digital technologies, with a special focus on cybersecurity. Skills and training activities involve short-term trainings to ensure the advanced digital skills needed by regional organisations to offer quality products and services. Support to find investments actions refer to assisting organizations in securing funding to improve their business model or to diversify and expand services. Innovation ecosystem and networking, concerns bringing together universities, research institutes and innovative businesses, as suppliers, with companies, particularly SMEs and start-ups, and PSOs, as requesters of knowledge and solutions. The strong ties with regional and national clusters, as well as with international networks such as Enterprise Europe, the EIT KICs and the EDIHs corridors will widen the range of services offered. Responding to the regional needs, as specified in the smart specialisation strategy of SE Romania, CiTyInnoHub differentiates itself from other EDIHs by concentrating on cybersecurity and focusing on tourism, agriculture and biotechnologies, maritime transportation, ship building and repair.</t>
  </si>
  <si>
    <t>Alexandru Bobe</t>
  </si>
  <si>
    <t>Mamaia avenue 124, 900527 Constanta, Romania</t>
  </si>
  <si>
    <t>health care, public administration, smart city, travel and tourism, education</t>
  </si>
  <si>
    <t>ecosystem building, finance, innovation management, knowledge transfer, smart specialisation strategies, sme business development, sme support, technology transfer, vocational training, field trial</t>
  </si>
  <si>
    <t>artificial intelligence decision support, big data, blockchain and distributed ledger technology dlt, cloud services, cybersecurity, high performance computing, internet services applications, virtual reality</t>
  </si>
  <si>
    <t>Digital Solutions for a Healthy, Active and Smart Life</t>
  </si>
  <si>
    <t>The actions of DANTE EDIH will be centered on Technologies for Living Environments (Smart Living) and on Technologies for Active &amp; Healthy Aging and for Home Care, with Technological Trajectories transversal to the sectors of intervention: Wellness and Comfort, Inclusion, Assistance, Safety, Health. The convergence between Digital Technologies and Enabling Technologies constitutes the base for the development of systems and services that include sensors (Sensing), components that process data and information (Reasoning), man-machine interfaces (Interacting) and actuators (Acting) , components that must communicate with each other (Communicating) to provide the assistance service. The combination of these disciplines opens up new opportunities for the development of autonomous, adaptive and collaborative systems that combine and integrate Robotics, Artificial Intelligence and IoT in an inseparable way. The identified catchment area will be at national territory, covering different regions, in a networked structure that has the objective to interact with many stakeholders, starting from the more than 400 existing members in the National Technological Cluster SMILE and extending it to other public and private entities. The proposal focuses on the application of Artificial Intelligence, Cyber ​​Security and High Performance Computing to the Smart Living and Health and Active Life sectors. The target will consist of stakeholders operating in the different market segments, like: Smart Home, Smart Living Environments, Social Housing, Telemedicine, Remote Monitoring &amp; Assistance, Tele-Care, Mobile Health, Internet of Things, Service-Assistive and Rehabilitation Robots, Big Data for Health, Sensors and Integrated Systems, Wearable Devices. Particularly relevant for DANTE is the theme of the "Silver Economy", understood as the production and dissemination of goods and services for the aging population.</t>
  </si>
  <si>
    <t>Pietro Aleardo Siciliano</t>
  </si>
  <si>
    <t>Via Monteroni, Campus Universitario Ecotekne pal a/3, 73100 Lecce LE, Italy</t>
  </si>
  <si>
    <t>https://dante-edih.clustersmile.it</t>
  </si>
  <si>
    <t>health care, life sciences, environment, personal services, smart city, telecommunications, textiles, public administration</t>
  </si>
  <si>
    <t>ecosystem building, field trial, knowledge transfer, prototyping, public sector innovation, smart specialisation strategies, sme support, technological innovation, technology transfer</t>
  </si>
  <si>
    <t>artificial intelligence decision support, cybersecurity, communication network, high performance computing, human computer interaction, internet of things, micro and nanoelectronics, optoelectronics, robotics, sensors vision processing systems, software architectures</t>
  </si>
  <si>
    <t>DigIT Hub Sweden</t>
  </si>
  <si>
    <t>DigIT Hub Sweden is built on the solid foundation of DigIT Hub, the existing regional DIH in Skåne and Blekinge that has been in operation since 2020. The EDIH includes the neighbouring region Kronoberg, meaning DigIT Hub Sweden will reach a larger target group and leverage the synergies of the three southernmost regions of Sweden, with all EDIH actors within 2 hours travel time.
The overall objective for DigIT Hub Sweden is to:• Increase and accelerate growth and productivity by digitalisation for SMEs in the manufacturing industry• Catalyse and drive digital transformation in the public sectorThe thematic focus of DigIT Hub Sweden - Smart Manufacturing &amp; Smart Cities - is tightly coupled with the smart specialisation strategies of the three regions and thus addresses their digitalisation needs. It also enables pooling of digitalisation expertise resources in the regions that support DigIt Hub Sweden's objectives. Our EDIH is home to world-leading Internet of Things (IoT) technology, fuelled by strong research institutions in radio communications and microelectronics in close symbiosis with large companies in the mobile phone industry and tech. The specialised focus of DigIT Hub Sweden is thus found at the intersection between Smart Manufacturing, Smart City and IoT. DigIT Hub Sweden also has strong knowledge in the DEP prioritised technology areas of AI, Cybersecurity and HPC, with already established partnerships both on national and European levels. DigIT Hub Sweden enjoys strong support and financing from the regional governments as well as major municipalities. Tech cluster Mobile Heights is the project coordinators. Other relevant cluster organisations, science parks, public sector organisations, major universities and research institutions are key partners in the EDIH. In addition, major manufacturing and tech companies play an important part to ensure a strong connection to industry.</t>
  </si>
  <si>
    <t>Magnus Bäckmark</t>
  </si>
  <si>
    <t>Mårtenstorget 10A, 22351 Lund, Sweden</t>
  </si>
  <si>
    <t>https://digithub.se/</t>
  </si>
  <si>
    <t>health care, life sciences, manufacturing and processing, metal working and industrial production, nmp nonmetallic materials basic processes, paper and wood, public administration, retail, wholesale or distribution, security, smart city, telecommunications, transport mobility, automotive, communityled local development, consumer products, education, energy, environment</t>
  </si>
  <si>
    <t>additive manufacturing, 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</si>
  <si>
    <t>Secure Digital Transformation of Public Administrations - EDIH4DT</t>
  </si>
  <si>
    <t>The EDIH4DT hub aims to promote and support a modern, and capillary digital transformation of Public Administrations (PAs), that is a strategic objective highly recommended by both EU and Italian National Government. The mission will be pursued providing a large and qualified set of services to drive PAs towards the familiarity and use of applications founded on: Artificial Intelligence, High Performance Computing, Communication Networks and IT Security. Services in Big Data, Cloud and other digital technologies will be also available. Both Processes, Data and Services for community, citizen and enterprise will be the target of the proposed PAs innovation. The target of the EDIH4DT is manly the local Public Administration. The Italy Digital Transformation is not possible without a pervasive digital transformation of Municipalities with their huge assets of data, documents and services for citizens, communities, and enterprises, that is, a valuable patrimonium that must be qualified also to meet objectives of new green deal. Then, the EDIH4DT will provides services to administrative process digitalization; dematerialisation of documents; connection to national digital platform, network and repositories; migration of legacy archives towards interoperable and open data; and diffusion of digital citizenship. The target is the national territory; with a main focus to southern Italy, where there is the major lack of digital innovation. There are six physical, and specialized access points in Torino, Rome, Campobasso, Bari, Benevento e Cosenza; and several nodes interconnected in the EDIH4DT network. The service provisioning will be ensured by a large and well-blended set of partners. It includes: qualified institutions in research, education, and technological transfer; existing network and echo-systems of local PAs (lead coordinator is ANCI, the National Association of the Italian Municipalities); a qualified set of innovation enterprises (lead coordinator is TIM).</t>
  </si>
  <si>
    <t>Giuseppe Pirlo</t>
  </si>
  <si>
    <t>via Giulio Petroni, n. 15, 70124 Bari BA, Italy</t>
  </si>
  <si>
    <t>https://www.edih4dt.it</t>
  </si>
  <si>
    <t>public administration, health care, energy, environment, smart city, security, telecommunications, transport mobility</t>
  </si>
  <si>
    <t>technology transfer, public sector innovation, knowledge transfer, innovation management, smart specialisation strategies, prototyping</t>
  </si>
  <si>
    <t>Enabling Digital Transformation in Hesse</t>
  </si>
  <si>
    <t>EDITH will enable the region of South Hesse to be amongst the smartest and most sustainable regions in Europe, acting as a strong and driving member of the EDIH universe. Although our region is prosperous, vibrant and well-connected local SMEs, small midcaps and municipalities face the risk of being left behind in the accelerating digitalisation of industry, the pandemic has increased this threat. Our region shows a relatively low number of digitally advanced SMEs and public service entities (PSEs), the majority are generally not prepared to embrace new digital solutions. Our EDITH, Enabling Digital Innovation &amp; Technology in Hesse, consortium uses its technological expertise to improve the digital maturity of the individual entities and of the region as a whole. The consortium consists of House of Digital Transformation, the coordinator, Fraunhofer, GSI Helmholtzzentrum für Schwerionenforschung, Hessian AI, Mittelstand Digitalzentrum Darmstadt (both part of TU Darmstadt) and TechQuartier. Partners offer their expertise in Artificial Intelligence, Cybersecurity, High Performance Computing and Advanced Digital Skills to provide sustainable solutions and hands on support to strengthen Hessian retail, logistics/mobility, construction/facility management and the public sector. Besides us as direct beneficiaries, EDITH has a strong network of affiliated partners mainly from larger industries and finance. Our services include test environments, a broad variety of training, workshops, networking formats and support to find additional public and private funding. EDITH is well connected with EEN and other European regions in order to exchange knowledge and best practices. In a smart region everything is connected to everything else and this is where EDITH comes in: EDITH’s aim is to complement smart region and smart government strategies through smart SMEs. We are confident that we can bridge the digital divide to make our region even smarter and more sustainable.</t>
  </si>
  <si>
    <t>Hauke Schlüter</t>
  </si>
  <si>
    <t>Mornewegstr. 30, 64293 Darmstadt, Germany</t>
  </si>
  <si>
    <t>https://edith-hessen.de</t>
  </si>
  <si>
    <t>public administration, retail, wholesale or distribution, transport mobility, construction assembly</t>
  </si>
  <si>
    <t>sme support, public sector innovation, knowledge transfer, finance, ecosystem building, field trial, innovation management, prototyping, sme business development, regional development, smart specialisation strategies</t>
  </si>
  <si>
    <t>The Greek digital Government and Public Services innovation HUB</t>
  </si>
  <si>
    <t>GR digiGOV-innoHUB aims to support the development of a new generation of public services based on advanced digital technologies, open standards and open source solutions for citizens and businesses; to enrich the ecosystem of Digital Transformation actors; and to facilitate innovation in Public Administration, transforming it into a large innovation buyer and investor.It will act as a virtual GOVtech Lab that can accelerate the development, innovative and cost-effective digital solutions through agile and efficient "borderless" collaborations among the public and private sectors, the civil society and academia.
The partnership is led by GRNET - National Infrastructures for Research and Technology which, together with the top Academic and Research Institutions that specialize in AI, HPC, Blockchain and govTECH issues, and the vibrant professional and scientific networks, form an experienced team, field-proven in the COVID19 period, in orchestrating the design and development of advanced information systems and infrastructures for the digital transformation of the Greek Public Administration.The Hub is also supported directly by a broad assortment of key industry actors, regional authorities and civic society organisations that have expressed their willingness to participate. Through this aggregation of creative forces, the Hub will constitute a network of excellence, with presence in almost all Greek regions, and international synergies. </t>
  </si>
  <si>
    <t>Yiannis Kotsis-Giannarakis</t>
  </si>
  <si>
    <t>7 Kifisias Ave, 11523 Athens, Greece</t>
  </si>
  <si>
    <t>https://digigov.innohub.gr/</t>
  </si>
  <si>
    <t>public administration</t>
  </si>
  <si>
    <t>ecosystem building, public sector innovation, knowledge transfer</t>
  </si>
  <si>
    <t>artificial intelligence decision support, blockchain and distributed ledger technology dlt, high performance computing, cloud services</t>
  </si>
  <si>
    <t>Italian National hub Enabling and Enhancing networked applications &amp; Services for digitally Transforming SMEs and Public Administrations</t>
  </si>
  <si>
    <t>I-NEST (Italian National hub Enabling and enhancing networked applications and Services for digitally Transforming Small-Medium Enterprises and Public Administrations) provides a transversal, multi-sector digitalization support for connected businesses, administrations and other digital innovation hubs, exploiting fixed and mobile network infrastructures and cloud-native, intelligent, high-performance, secure services. The hub operates with a national coverage, thanks to a network of points-of-presence and demo-centers implemented at the 88 offices of the Italian Chambers of Commerce and in 5 National Research Laboratories of CNIT, a consortium of 38 Italian Universities. The hub is specialized in emerging intelligent and secure communication and computing infrastructures, exploiting 5G as a powerful innovation platform. These infrastructures can enable innovative applications in multiple fields, improve efficiency and sustainability of supply chains and industrial ecosystems, and create new opportunities for SMEs and PAs. The hub services are designed for addressing the knowledge, capability, demand-supply and financial gaps of stakeholders working in non-ICT vertical domains. Technology awareness will be built by presenting concrete 5G economical scenarios and use cases, showcasing innovative artificial intelligence applications and analysing cybersecurity threats. Training programs and consultancy services will exploit the hub testing facilities and prototyping platforms, including a high-performance-computing platform for process simulation. Multiple players will be encouraged to share tools and interact on these facilities for creating conditions for collaboration, circularity, and open innovation. Support will be provided not only for identifying and applying for funding opportunities, including the current National Plan for Resilience and Recovery, but also for effectively and efficiently utilizing the granted funds.</t>
  </si>
  <si>
    <t>Nicola BLEFARI MELAZZI</t>
  </si>
  <si>
    <t>Viale g. p. usberti 181a, 43124 Parma PR, Italy</t>
  </si>
  <si>
    <t>https://inest-digital.eu/</t>
  </si>
  <si>
    <t>public administration, telecommunications, security</t>
  </si>
  <si>
    <t>prototyping, technological innovation, technology transfer, finance, ecosystem building, knowledge transfer</t>
  </si>
  <si>
    <t>cybersecurity, artificial intelligence decision support, digital twins, communication network, internet of things</t>
  </si>
  <si>
    <t>Mittelstand-Digital Zentrum Franken</t>
  </si>
  <si>
    <t>The Mittelstand-Digital Zentrum Franken supports companies in northern Bavaria in designing and implementing digital strategies, tools and workflows for digitalisation and sustainability. A particular focus is placed on the use of artificial intelligence and how digitalisation and sustainable business can be combined in a synergetic way. The programme covers the use of artificial intelligence in a wide range of business domains as well as the topics of energy and resource efficiency and sustainability management. The centre's showrooms in Ansbach and Nuremberg offer workshops, training courses, consultation hours and other formats to encourage exchange. Demonstrators, joint model implementations and a roadshow round off the programme. The centre trains and supports the use of digital tools and workflows for the following applications: - Identifying the potential of artificial intelligence in a wide range of business domains and company sizes - Technical applications of AI, e.g. machine learning, computer vision, quality control and process optimisation - Use of digital assistance systems for knowledge assurance, customer communication and other business applications - Sustainability-oriented risk analyses, sustainability management and reporting as well as supply chain management - Energy balancing and energy management - Improved material efficiency, circular thinking and end-of-life planning Cooperation with third parties is an important factor for the centre. Specific collaborations have been agreed with the following associated partners: IHK Nürnberg für Mittelfranken, IHK-Akademie Mittelfranken, IHK Würzburg-Schweinfurt, Handwerkskammer Mittelfranken, Wirtschaftsförderung Nürnberg, Wirtschaftsförderung Ansbach, Digitales Gründerzentrum ANsWERK, EMN Europäische Metropolregion Nürnberg e. V., Hochschulallianz für den Mittelstand, XR Hub Nürnberg – Virtual Reality, Augmented Reality und Mixed Reality Kontaktnetzwerk, Chemie-Cluster Bayern, Bundesdeutscher Arbeitskreis für Umweltbewusstes Management (B.A.U.M.) e.V., Mittelstand-Digital Zentrum Klima.Neutral.Digital, Regionales Zukunftszentrum Süd Forschungsinstitut Betriebliche Bildung (f-bb) gGmbH The Academy for Artificial Intelligence (AKI), as one of the four partners of the Mittelstand-Digital Zentrum Franken, is a wholly owned subsidiary of the German AI Association and promotes non-profit projects and application-oriented research projects that stand for value-centred development and transparent application of artificial intelligence projects. The goals of AKI is to support science in AI research projects and to strengthen AI awareness among the public. Thanks to the network of the German AI Association, Germany's largest network of AI entrepreneurs and experts, AKI has access to a broad base of experience and contacts. Within the "Mittelstand-Digital Zentrum Franken" project, AKI acts as a transfer partner with the aim of initiating and implementing SMEs in AI projects, promoting collaborative cooperation and providing impetus from the expert network.</t>
  </si>
  <si>
    <t>Lisa Kirschbaum</t>
  </si>
  <si>
    <t>Rettistraße 56, 91522 Ansbach, Germany</t>
  </si>
  <si>
    <t>https://digitalzentrum-franken.de/</t>
  </si>
  <si>
    <t>circular economy, ecosystem building, knowledge transfer, prototyping, regional development, smart specialisation strategies, sme business development, sme support, technological innovation, technology transfer</t>
  </si>
  <si>
    <t>additive manufacturing, artificial intelligence decision support, chemical engineering plants, products, gamification, human computer interaction, internet of things, laserbased manufacturing and materials processing, virtual reality, robotics, sensors vision processing systems, simulation engineering and modelling</t>
  </si>
  <si>
    <t>Dutch Societal Innovation Hub</t>
  </si>
  <si>
    <t>The Dutch Societal Innovation Hub is the hub for strengthening interregional cooperation for a mission-driven approach in the public sector in times of data and digital technology. Together we are working on responsible, people-centered solutions for the societal challenges around climate-neutral cities and regions, healthy soil and biodiversity, and climate adaptation.  
Systemic change for societal challenges 
Major social challenges require innovative policy. Challenges such as circularity and housing are so complex that existing organizational silos must be broken down to create the best solutions for society. In the coming years, the public sector faces the task of redefining its way of working and its role in the ecosystem. We see the emergence of data and digital technology as one of the elements that offer opportunities to involve citizens, businesses and social players in the policy process and implementation and to make policy more adaptive, for example through monitoring climate goals or predicting spatial puzzles with digital twins. This is only effective when not only the technology and data are in order, but also people start working together in a new way. Societal innovation is crucial. 
A mission-driven approach 
The Dutch Societal Innovation Hub stimulates cooperation between regions in the Netherlands and in the EU focussed on a mission-driven approach in the public sector in times of data and digital technology. Each municipality and province is working on digital innovation projects. We support in bringing successful projects in the public sector to the next level and to create a common ground for innovation across regions. We focus on new ways of working and societal innovation. The hub focuses on three pillars: 
1. RETHINK: A mission-driven approach and strategy for digital innovation. 
2. RESHAPE: A shared innovation infrastructure for the public sector 
3. RECONNECT: Knowledge sharing and collaboration 
Collaboration in the ecosystem 
The Dutch Societal Innovation Hub is set up with 2 umbrella organizations IPO and VNG representing all local and regional public actors. DSIH consists, in addition to the national constituency of municipalities and provinces, of five regional public-private ecosystems:    
- Data and Knowledge Hub Healthy Urban Living  
- Digicampus  
- Municipality of Rotterdam  
- Urban Development Initiative   
- Brightlands Public Services Lab  
Each partner is committed to improve sustainable, healthy and safe living in cities and regions. These ecosystems offer building blocks in the form of development locations (living labs), where the public sector can experiment together with industry and knowledge institutions. The DSIH is part of a wider European network of hubs. </t>
  </si>
  <si>
    <t>Irene Van Hooff</t>
  </si>
  <si>
    <t>Nassaulaan 12, 2514 JS The hague, Netherlands</t>
  </si>
  <si>
    <t>https://living-in.eu/solutions/dutch-societal-innovation-hub</t>
  </si>
  <si>
    <t>ecosystem building, knowledge transfer, public sector innovation, smart specialisation strategies, innovation management, circular economy</t>
  </si>
  <si>
    <t>data, artificial intelligence decision support, digital twins, sensors vision processing systems, cybersecurity</t>
  </si>
  <si>
    <t>AI4PA Portugal – Artificial Intelligence &amp; Data Science for Public Administration Portugal Innovation Hub</t>
  </si>
  <si>
    <t>The AI4PA_Portugal EDIH will be coordinated by the Portuguese Administrative Modernization Agency (AMA) and aims to support the digital transition of Public Administration by introducing the use of Artificial Intelligence &amp; Data Science and other innovative technologies to increase the effectiveness of public policies and the quality of public services, as well as to empower central, regional and local Public Administration and SMEs that offer suitable digital solutions. In addition to promoting the training of Public Administration technicians, AI4PA_Portugal aims to encourage the adoption of open data and to involve citizens and companies. With operations focused across Portugal, the EDIH activities are aligned and designed to contribute to both European and national policies supporting the digital transformation of the economy and society. Moreover, AI4PA_Portugal will be taking advantage of the collaboration and networking opportunities with the EDIH Network members to share its portfolio of services, as well as the results and benefits illustrating its action at the regional level.</t>
  </si>
  <si>
    <t>Paulo Vale</t>
  </si>
  <si>
    <t>Rua de Vila Flor 166, 4810-453 Guimaraes, Portugal</t>
  </si>
  <si>
    <t>https://www.ai4pa.pt/</t>
  </si>
  <si>
    <t>public administration, smart city</t>
  </si>
  <si>
    <t>public sector innovation, regional development, technological innovation, vocational training</t>
  </si>
  <si>
    <t>artificial intelligence decision support, big data, internet of things</t>
  </si>
  <si>
    <t>European Digital Innovation Hub Thuringia</t>
  </si>
  <si>
    <t>The vision of a digital and green European Union needs the common effort of businesses, public organisations, research institutions and creatives as well as a proactive citizen engagement. To foster the development and implementation of innovations, there is a high demand for digital skills, training programmes, testing and experimentation facilities, financial support, and interconnected ecosystems. The European Digital Innovation Hub (EDIH) Thuringia incorporates this vision and these services with a dedicated focus on the mobility and energy sectors. It acts as a regional one-stop shop in Central Germany for the digital transformation of private companies and the public sector. With its interdisciplinary expertise on the application of artificial intelligence, high performance computing, cybersecurity and digital skill training, the EDIH Thuringia addresses the most important challenges for a digital European Union. By expanding the active, regional innovation ecosystem through a strong EDIH network, it offers prospective customers unique possibilities to implement forward-thinking digital solutions. The EDIH Thuringia will foster the regional digital maturity, induce new digital products and services, stimulate significant private as well as public investments and thus be a key actor in shaping the digital future.</t>
  </si>
  <si>
    <t>Maximilian Wunsch</t>
  </si>
  <si>
    <t>Schwanseestraße 13, 99423 Weimar, Germany</t>
  </si>
  <si>
    <t>public administration, transport mobility, smart city, energy, fuels and petroleum engineering, education, environment, financial, legal aspects, security, transport sector, travel and tourism, communityled local development, energy, personal services, automotive, construction assembly, real estate, regulation, telecommunications</t>
  </si>
  <si>
    <t>field trial, knowledge transfer, regional development, public sector innovation, sme support, technological innovation, technology transfer, ecosystem building, smart specialisation strategies, circular economy, finance, innovation management, prototyping, sme business development</t>
  </si>
  <si>
    <t>cybersecurity, mobility, logistics, data, digital twins, artificial intelligence decision support, cloud services, simulation engineering and modelling, bi tools, high performance computing, big data, gamification, human computer interaction, locationbased applications, sensors vision processing systems, virtual reality, software architectures</t>
  </si>
  <si>
    <t>Aragon European Digital Innovation Hub</t>
  </si>
  <si>
    <t>Aragon DIH is an instrument created to boost digitalization in Aragon in an effort to improve the competitiveness of its productive system, the development and enhancement of the results of its innovation ecosystem, the achievement of its smart specialisation and sustainability goals, and putting digitalization in the focus of the Aragonese society as a source for growth, social development, and with a strong transformative effect on employment quality. Aragon DIH joins the efforts of three of Aragon’s most relevant institutions, ITA (Coordinator), IAF and UNIZAR, who have been carrying out activities together since 2017 for the digitalisation of the region and its industries thanks to the DIH initiative, and it is also participated by Aragon’s business associations (CEOE and CEPYME), regional ICT cluster (TECNARA) and the regional Chambers of Commerce (CAMARA) that contribute as connecting arms with the industries. Aragon DIH relies on its outstanding technological capabilities in Data (iSpace since 2018), AI and cognitive systems, HPC, manufacturing processes, robotics and logistics, as key drivers for new developments and innovation opportunities. These, together with its close approach to Aragon’s SMEs, big corporations and public institutions (+100 associated partners at present), confer Aragon DIH the elements for an effective impact. Aragon DIH is a solid mature project with an ongoing track record of collaborations in European projects and networks, looking forward to becoming an important contributor to the EDIH Initial Network through its capabilities, expertise and experience.</t>
  </si>
  <si>
    <t>Pablo Perez</t>
  </si>
  <si>
    <t>Maria de luna 8, 50018 Zaragoza Zaragoza, Spain</t>
  </si>
  <si>
    <t>https://www.aragonedih.com/</t>
  </si>
  <si>
    <t>public administration, manufacturing and processing, agricultural biotechnology and food biotechnology, transport sector, travel and tourism, automotive, communityled local development, cultural and creative economy, education, energy, aeronautics, health care, construction assembly, environment, metal working and industrial production, retail, wholesale or distribution, transport mobility</t>
  </si>
  <si>
    <t>technological innovation, ecosystem building, technology transfer, innovation management, prototyping, public sector innovation, smart specialisation strategies, knowledge transfer, sme support, circular economy, sme business development, finance</t>
  </si>
  <si>
    <t>artificial intelligence decision support, big data, cloud services, high performance computing, logistics, robotics, blockchain and distributed ledger technology dlt, digital twins, internet of things, locationbased applications, simulation engineering and modelling, mobility, software architectures, sensors vision processing systems</t>
  </si>
  <si>
    <t>easyHPC@eco.plastics.industry.WCG:An open HPC ecosystem for the ecological transformation and the advancement of the competitiveness of the Plastic Industry in the Regions of West &amp; Central Greece</t>
  </si>
  <si>
    <t>At “easyHPC” we aim at the digital and ecological transformation of the plastics and packaging industry in Greece. We want to create an open and viral ecosystem, where people can meet, communicate, acquire skills, and respond to industrial challenges or market impulses through open innovation, agility, experimentation, and co-development. We aspire to pave the way to industrial advancement, resilience, and green footprint reduction.
“easyHPC” means for us ‘easy’, ‘digestible’, ‘flexible’, ‘awareness creation’. ‘HPC’ comes from “High Performance Computing”. The fundamental principle underpinned by easyHPC@eco.plastics.industry.WCG, as it is the integral name of the Hub, is the application of supercomputing (HPC) based strategies for Industry 4.0, combined with infrastructure adjustment, high scientific and technological training, advanced knowledge, and pioneering simulation algorithms developed by leading Greek Scientific and Research Laboratories.
In the plastics industry, the material itself is the major problem to face. It does not follow standard and conventional processing rules (industry 4.0 cannot effectively work as a ready to buy black box). Thus, from a rheological perspective, one needs high research and technological competence to handle plastics materials in product design and process development. In this sense, the global experience has shown that HPC simulations and modelling at the Molecular, Mesoscopic, and Macroscopic level, are the most advanced solutions to manage production parameters and conditions to achieve quality and avoid waste. This phenomenon scales up when one comes to the use of bio-based and recycled materials with unknown properties or non-uniform behaviour, which differ significantly from those of original, unprocessed polymers. Furthermore, as EU and society press for sustainability and green growth (consider the microplastics problem at sea and air), modelling and simulated design are of paramount importance.
“easyHPC” has its headquarters in Patras, Greece with a national geographical scope. It is a triangular collaborative initiative between: Several Labs from the Departments of Chemical &amp; Mechanical  Engineering, Computer Science, Mathematics and Educational Sciences at the University of Patras and the University of Piraeus; Patras Science Park (PSP), a leading regional incubator and ecosystem supporter for innovative start-ups, and; The Association of Greek Manufacturers of Packaging and Materials (AGMPM) that represents a large number of manufacturers alongside the whole materials value chain, products and applications used in our day‑life.
In addition, “easyHPC” has the support of leading European Plastics Innovation Competence Centers, as well as other related industry organizations such as the ‘Plastics Recyclers Europe’, the ‘Association οf Greek Soft Drinks Industries’, or the ‘Federation of Hellenic Food Industries’. “easyHPC” already collaborates with other four leading EDIHs in similar and complementary fields of expertise.
The Hub endeavours to offer its customers a full range of services. Activities are organised around 4 technical and business-related modules, coupled with management, communication, dissemination and exploitation utilities. The objective is to provide companies an exciting “journey” map and framework to first design, develop and produce new materials with inherent ecological and functional characteristics, using a state-of-the-art production and software platform. Then improve competencies through advanced digital engineering courses, workshops, collaborative projects, student internships programs, and technical business publications.
In collaboration with market experts, create structural and long-last partnerships with leading European sectoral competence and research centres, as well as network with industry ecosystems and communities. Finally perform market and technology intelligence and seek for the most appropriate funding and investment opportunities.
 </t>
  </si>
  <si>
    <t>Professor Dr. Yannis Dimakopoulos</t>
  </si>
  <si>
    <t>University Campus, 26504 Rio, Patras, Greece</t>
  </si>
  <si>
    <t>polymers and plastics, manufacturing and processing, food and beverages, education, construction assembly, environment, nmp nonmetallic materials basic processes, aeronautics, defence, energy, fuels and petroleum engineering, maritime</t>
  </si>
  <si>
    <t>sme support, technological innovation, prototyping, circular economy, vocational training, ecosystem building, knowledge transfer, technology transfer, regional development, innovation management, finance</t>
  </si>
  <si>
    <t>chemical engineering plants, products, simulation engineering and modelling, high performance computing, additive manufacturing, cyberphysical systems, digital twins, laserbased manufacturing and materials processing, human computer interaction</t>
  </si>
  <si>
    <t>UDIH: Equip Explore Empower Expand Utilize</t>
  </si>
  <si>
    <t>Our EDIH is dedicated to the utilities sectors, with a primary focus on electricity distribution and water and wastewater utilities (WWU) at present and others in mind. UDIH’s regional focus is South Central Bulgaria but our unique selling proposition already attracts PSOs and SMEs from all over Europe. We are building a simulation environment, physically mimicking a complete WWU service cycle that is also equipped to collect real-time data from both water and electricity grids. This module-based environment constructs a unique spot for TBI and TBB services - tech demonstrations or pilots. A range of support services is also envisaged: - full training cycles and financial advisory including links to private and institutional investors, innovation procurement advisory and support to gain public grants. All services are provided by the partners as field experts. Networking activities support access to digital capacities and international ecosystems actors, reaching 1000+ attendees in 30+events, bringing together digital industry buyers, vendors, investors and innovation actors. Existing facilities are not even halfway close to providing anything similar in scope, technological value or flexibility, especially in terms of its potential value for the entire Network of EIDHs.</t>
  </si>
  <si>
    <t>Dimitar Ivanov</t>
  </si>
  <si>
    <t>Poligona, str. mihail tenev 6, office 6.1., 1784 Sofia, Bulgaria</t>
  </si>
  <si>
    <t>https://www.udih.eu</t>
  </si>
  <si>
    <t>electricity, smart city, communityled local development, environment, energy</t>
  </si>
  <si>
    <t>artificial intelligence decision support, big data, cloud services, cyberphysical systems, cybersecurity, digital twins, internet services applications, simulation engineering and modelling, communication network, high performance computing, human computer interaction, sensors vision processing systems</t>
  </si>
  <si>
    <t>Agricultural EDIH</t>
  </si>
  <si>
    <t>AEDIH is the Agricultural European Digital Innovation Hub for Hungary. The 4 project partners will increase the digital capabilities of agricultural enterprises and their confidence in digital technologies through digitalisation services. The AEDIH project accompanies agricultural enterprises through the different stages of the customer lifecycle, providing them complementary services that build on each other in a modular system. This pathway starts with the digital scoping where the digital maturity level of the agricultural enterprises is assessed according to an adapted ADMA (Agricultural Digital Maturity Assessment) methodology. This is followed by the preparation of an individual digital development roadmaps, tailored to the organisation. The roadmap is developed in close collaboration with the respective enterprise and includes recommendations for digital upgrades, including specific service proposals of AEDIH. The next step strives for enhancing the digital readiness of the agricultural enterprises and supports the roll-out of digital upgrades by providing training, demonstration opportunities, testbeds and tests before investment as well as concrete investment planning. Fostering digital upscaling is the third level of implementation, this is where the actual digitisation development takes place, the agricultural enterprise is integrated into the agro-digital ecosystem and AEDIH also supports them in identifying funding sources for their digital progress. AEDIH sees agricultural enterprises as its primary, but not exclusive, target group and intends to involve agricultural advisors and businesses providing innovation and digitalisation products and services, who are not necessarily agro-specific, but agro-interested. The foreseen approach explicitly reflects the low digital maturity of the primary target group and will guarantee the improvement in the proficiency level of digital literacy of the Hungarian small and medium sized agricultural enterprises.</t>
  </si>
  <si>
    <t>Istvan Balla</t>
  </si>
  <si>
    <t>Gödöllő, Páter Károly út 1., 2103, Hungary</t>
  </si>
  <si>
    <t>environment, agricultural biotechnology and food biotechnology, fishery, food and beverages, life sciences</t>
  </si>
  <si>
    <t>field trial, knowledge transfer, technology transfer, vocational training</t>
  </si>
  <si>
    <t>internet services applications, internet of things, big data, blockchain and distributed ledger technology dlt, locationbased applications, robotics</t>
  </si>
  <si>
    <t>Greater Copenhagen European Digital Innovation Hub</t>
  </si>
  <si>
    <t>The Greater Copenhagen European Digital Innovation Hub (GC EDIH) supports the dual purpose of 1) establishing an EDIH specialising in life science, health tech and built environment within a European EDIH network and 2) enabling digital transformation and innovation in SMEs within computing continuum and artificial intelligence. The GC EDIH has a total budget of 3.1 M EUR, corresponding to 1.5 M EUR of EU requested funding, and a total of national co-funding of 1.7 M EUR. The ambition of the GC EDIH is to improve the quality of life for people in Greater Copenhagen and beyond by pushing advanced digital technologies into SMEs. The implementation of AI and computing continuum holds great promise for improving the general health and well-being of society. The technologies will impact a wide range of applications e.g., administration, logistics, prevention, diagnosis, treatment, and monitoring. The primary target group is SMEs within the life science, health tech, and built environment, and SMEs that develop solutions to these areas. The secondary target group consists of the downstream and upstream value chains of the SMEs. The GC EDIH will support their digital transformation by strengthening awareness, skills, and competencies, and providing access to networks, end-users, funding, and testing facilities. Impact is measured though the following KPIs: KPI1: 160 SMEs have participated in 1 or more GC EDIH activities within the project period KPI2: GC EDIH have collaborated with at least 18 EDIHs and other stakeholders at national and European level KPI3: 21 million EUR have been triggered in additional funding or investments for SMEs KPI4: 90 SMEs have increased their digital maturity level KPI5: 45 SMEs will have developed new innovations The GC EDIH consortium which builds upon well-established structures in the Danish business development and innovation ecosystem consists of 10 partners: 2 regional business hubs, 2 clusters, 4 universities, and 2 RTOs.
 </t>
  </si>
  <si>
    <t>Signe Ingholt-Gaarde</t>
  </si>
  <si>
    <t>Fruebjergvej 3, 2100 Copenhagen, Denmark</t>
  </si>
  <si>
    <t>https://ai-boost.dk/content/</t>
  </si>
  <si>
    <t>environment, smart city, life sciences, health care</t>
  </si>
  <si>
    <t>ecosystem building, knowledge transfer, innovation management, public sector innovation, sme business development, technological innovation, vocational training</t>
  </si>
  <si>
    <t>big data, cybersecurity, artificial intelligence decision support, high performance computing, internet of things</t>
  </si>
  <si>
    <t>HPC4Poland European Digital Innovation Hub</t>
  </si>
  <si>
    <t>The purpose of EDIH HPC4Poland is to increase the competitiveness and innovation of North West Poland (NUTS1) manufacturing companies and public organizations by increasing awareness and availability of advanced digital tools and services based on safe, reliable and efficient High Performance Computing (HPC), including: cloud simulations (PaaS), sensor systems (IoT), AR/VR/MR, collaborative robots, AGV, AMR, additive technologies, AI and Big Data analysis. HPC4Poland EDIH is a feedback matrix and a true node of value and service exchange between research teams, suppliers and recipients of advanced concepts, methods and solutions in the target region and collaborating regions/EDIHs of the EU. Based on the resources and domain knowledge of competence centers (research units) and business partners (tool suppliers), the EDIH implements a comprehensive one-stop-shop digital transformation offer, currently unavailable on the Polish market to the 4 target markets: transportation/automotive, medicine/pharmaceutics, wood/furniture, agriculture/processing.</t>
  </si>
  <si>
    <t>Cezary Mazurek</t>
  </si>
  <si>
    <t>Noskowskiego 12-14, 61-704 Poznan, Poland</t>
  </si>
  <si>
    <t>http://www.hpc4poland.pl/</t>
  </si>
  <si>
    <t>transport sector, agricultural biotechnology and food biotechnology, health care, paper and wood</t>
  </si>
  <si>
    <t>prototyping, knowledge transfer, sme business development, sme support, finance, technology transfer</t>
  </si>
  <si>
    <t>robotics, internet of things, artificial intelligence decision support, high performance computing, big data, virtual reality, simulation engineering and modelling, digital twins, cloud services</t>
  </si>
  <si>
    <t>The West Marmara Digital Transformation Initiative</t>
  </si>
  <si>
    <t>The West Marmara Digital Transformation Initiative aims to establish a vibrant and impactful European Digital Innovation Hub in the West Marmara region of Türkiye. The EDIH West Marmara serves as a catalyst for innovation, collaboration, and growth, supporting businesses, public sector entities and entrepreneurs in adopting and harnessing the power of digital technologies to enhance their competitiveness while also supporting the region's transition towards a green and sustainable economy and address societal challenges.</t>
  </si>
  <si>
    <t>Tuğrul Kağan Asan</t>
  </si>
  <si>
    <t>Hurriyet Mah. Karides Sokak No:1/1, Suleymanpasa, 59100 TR21, Tekirdağ, Türkiye</t>
  </si>
  <si>
    <t>https://www.trakyaka.org.tr/</t>
  </si>
  <si>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nuclear, paper and wood, public administration, personal services, polymers and plastics, real estate, regulation, retail, wholesale or distribution, security, smart city, space, telecommunications, textiles, tobacco, transport mobility, transport sector, travel and tourism</t>
  </si>
  <si>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</si>
  <si>
    <t>Serbian European Digital Innovation Hub on AI</t>
  </si>
  <si>
    <t>Regional socio-economic inequalities have worsened over the past two decades in Serbia and are now among the highest in Europe. Substantial barriers to SME development prevented the less developed regions from mobilising the power of domestic entrepreneurship to challenge incumbent firms which benefitted from their locational advantage in Belgrade and other northern districts. With the transition to a knowledge economy based on digital agenda, Belgrade and Vojvodina benefitted from the high concentration of high technology employment, R&amp;D and research personnel. This gave a further push to regional divergence. To overcome the renewed growth of regional inequalities generated by the structural shifts to the knowledge economy and the digital businesses that are fast emerging, a S4AI_HUB brings better distributed version of the knowledge economy in which the benefits of the digital transformation to the less developed regions of Serbia is going to be spread.
These regions in Serbia need to enhance the uptake of AI in its key priorities defined by RIS3 and participate in the European ecosystem of excellence and trust.
Therefore, it is essential to use and transfer the knowledge from cutting-edge research into business practice, support digitalisation in companies, especially SMEs, delivering innovation from startups and university to value chain and closely related issues of the qualified and retrained workforce. These regions in Serbia can build on its industrial and entrepreneurial tradition and the high technological intelligence of the population in this respect. It is why a highly diversified consortium consisted from 7 partners from BSOs, R&amp;D, and the private sector, along with 13 Associated Partners (national level institutions, regional innovation centres, R&amp;D, and academia) was established. This consortium will provide essential support to SMEs and public institutions in their digital transformation targeting at least 300 SMEs and public institutions.</t>
  </si>
  <si>
    <t>Ivan Pavlovic</t>
  </si>
  <si>
    <t>Aleksandra Medvedeva 2A, 18000 Nis, Serbia</t>
  </si>
  <si>
    <t>http://s4ai.rs/</t>
  </si>
  <si>
    <t>aeronautics, communityled local development, consumer products, cultural and creative economy, education, energy, environment, health care, manufacturing and processing, smart city, telecommunications, transport mobility, travel and tourism</t>
  </si>
  <si>
    <t>additive manufacturing, artificial intelligence decision support, big data, blockchain and distributed ledger technology dlt, cloud services, communication network, digital twins, gamification, high performance computing, human computer interaction, internet of things, internet services applications, locationbased applications, logistics, quantum technologies computingcommunication, robotics, sensors vision processing systems, software architectures, virtual reality</t>
  </si>
  <si>
    <t>Digital Innovation Value Accelerator</t>
  </si>
  <si>
    <t>DIVA is the European Digital Innovation Hub for the Pays de la Loire region, France. It aims at supporting the digital transformation of SMEs. It consists of a one-stop shop that provides services towards the implementation of green and human-centered Artificial Intelligence, data and robotics within companies and public administrations. It adresses as a priority traditional SMEs implementing advanced digital technologies to meet the needs of Agriculture, Agrifood, Energy, Health, Mobility, Aeronautics, Shipbuilding, Sailing, Vehicles, Tourism, as well as start-ups which design digital products and services. DIVA pursues a human-centric, ethical approach to accelerating the best use of technologies and adoption of trustworthy AI according to the values of the European Union. The DIVA consortium brings together 11 partners from the regional ecosystem; technical centers and technology platforms, training &amp; research bodies and competitiveness clusters. They will offer internal services (mutualised by consortium members), as well as a list of external services, to tackle the obstacles encountered when integrating AI and robotics into user activities, such as cost, lack of technical support and internal skills. DIVA will collaborate with the Digital Transformation Accelerator network, in addition to facilitating its own complementary EDIH network. Thus, integrated into a larger network of EDIHs, DIVA aims at: • Implementing AI and digital transformation projects that ensure an ethical and environmental impact • Identifying technologies and tools that are adapted to the needs of the companies • Finding the right providers and the best funding opportunities Over the next three years, DIVA aims at raising awareness among 3,000 organisations, carrying out 480 digital maturity diagnoses and supporting 150 companies with “Test Before Invest” activities, including 50 experiments. The EDIH DIVA budget amounts to €5.9 million for a 36-month duration, representing 839 PM.</t>
  </si>
  <si>
    <t>Simon BOISSERPE</t>
  </si>
  <si>
    <t>Chateau de la chantrerie, 44307 Nantes, France</t>
  </si>
  <si>
    <t>https://www.edih-diva.eu/en/home/</t>
  </si>
  <si>
    <t>aeronautics, automotive, energy, environment, health care, manufacturing and processing, maritime, public administration, transport mobility, travel and tourism</t>
  </si>
  <si>
    <t>finance, innovation management, prototyping, regional development, sme business development, sme support, technological innovation, vocational training</t>
  </si>
  <si>
    <t>artificial intelligence decision support, big data, robotics</t>
  </si>
  <si>
    <t>Zaporizhzhia European Digital Innovation Hub</t>
  </si>
  <si>
    <t>The Zaporizhzhia European Digital Innovation Hub (ZP EDIH) is engaged in supporting the digital transformation of small and medium-sized enterprises (SMEs) and the public sector in the southeastern regions of Ukraine including Zaporizhzhia, Kherson, and Dnipropetrovsk oblasts. By providing a comprehensive range of services that include technical expertise, access to cutting-edge technologies, pre-investment testing, training, and financing assistance, ZP EDIH opens up new opportunities for the region. At the core of the hub's activity is the potential of digital technologies such as artificial intelligence, cybersecurity, and high-level digital skills. These technologies form the basis for integrating innovations into the main sectors of the region's economy, including metallurgy, machine building, renewable energy, and others. Such an integrated approach not only catalyses digital and ecological transformation at the local level but also helps regional enterprises to join national and European innovation ecosystems. The mission of ZP EDIH is to accelerate the digital transformation of SMEs and the public sector in the South-East region of Ukraine by providing integrated services in the field of advanced digital technologies. ZP EDIH focuses on supporting innovation, stimulating the effective implementation of technological solutions, and developing the digital economy potential of the region, which will contribute to increased productivity, competitiveness, and sustainable development at both local and European levels. ZP EDIH aims to create an open innovation environment where every entrepreneur and organization can access the necessary resources, knowledge, and support to realize their digital potential, thereby ensuring inclusive and sustainable digital development.</t>
  </si>
  <si>
    <t>Serhii Tanchenko</t>
  </si>
  <si>
    <t>64 Universytetska str., Zaporizhzhia, 69011, Ukraine</t>
  </si>
  <si>
    <t>http://dih.zp.edu.ua</t>
  </si>
  <si>
    <t>aeronautics, automotive, communityled local development, construction assembly, defence, education, electricity, energy, financial, manufacturing and processing, metal working and industrial production, public administration, retail, wholesale or distribution, security, smart city, transport sector, travel and tourism</t>
  </si>
  <si>
    <t>circular economy, ecosystem building, finance, innovation management, prototyping, public sector innovation, regional development, smart specialisation strategies, sme business development, sme support, technological innovation, technology transfer, vocational training</t>
  </si>
  <si>
    <t>additive manufacturing, artificial intelligence decision support, big data, communication network, cyberphysical systems, cybersecurity, digital twins, high performance computing, human computer interaction, internet of things, internet services applications, laserbased manufacturing and materials processing, logistics, micro and nanoelectronics, optoelectronics, photonics, robotics, semiconductors and nanotechnology, sensors vision processing systems, simulation engineering and modelling, software architectures, virtual reality</t>
  </si>
  <si>
    <t>Empower Sustainable Digital and Green Transformation in East Ukraine’s Key Economic Sectors</t>
  </si>
  <si>
    <t>The Eastern Ukraine EDIH supports the digital and green transformation of key economic sectors in the Eastern regions of Ukraine, stimulating the adoption of innovative technologies for the sustainability and recovery of the local economy. It also aims to create an innovative ecosystem that will contribute to economic growth, job creation, and qualitative changes in community life.
The Eastern Ukraine EDIH focuses on the most substantial economic sectors in the region severely impacted by Russian aggression – manufacturing, agriculture and energy, and the smart-city initiatives – which are important for post-war recovery and further development in line with European priorities.
The Eastern Ukraine EDIH experts support businesses, communities, and public sector organisations in identifying optimal digital solutions, developing digital skills, raising funding for digital transformation projects, and establishing connections within the ecosystem.</t>
  </si>
  <si>
    <t>Olga Shapoval</t>
  </si>
  <si>
    <t>HROMADYANSKA STREET 11/13, Kharkiv, Kharkiv oblast, 61057, Ukraine</t>
  </si>
  <si>
    <t>https://it-kharkiv.com</t>
  </si>
  <si>
    <t>aeronautics, agricultural biotechnology and food biotechnology, automotive, construction assembly, consumer products, defence, electricity, energy, environment, food and beverages, leather, manufacturing and processing, metal working and industrial production, paper and wood, polymers and plastics, public administration, real estate, security, smart city, textiles, transport mobility</t>
  </si>
  <si>
    <t>ecosystem building, sme business development, sme support, technological innovation</t>
  </si>
  <si>
    <t>artificial intelligence decision support, big data, cloud services, communication network, cyberphysical systems, cybersecurity, digital twins, internet of things, robotics, sensors vision processing systems, virtual reality</t>
  </si>
  <si>
    <t>Brain 4 Industry (B4I)</t>
  </si>
  <si>
    <t>The DIH Brain 4 Industry (B4I) was established in 2019 as a support tool to enhance the competitiveness of business through the introduction of digitization, ATI and advanced production technologies in business or production processes. B4I services target mostly SMEs that form the basic structure of the Czech industry. The scope of services corresponds to the specific conditions of the Czech Republic especially to the high contribution of the manufacturing industry to the creation of added value – in 2019 EU 28: 16.6%; CR: 24.8%, Central Bohemian Region: 37.6% (OECD report). The mix of services offered by B4I is well balanced with respect to specific needs of our clients and partners. It is in compliance with strategic goal. B4I services are flexible and rely not on internal expertise as well as on our extensive network of external experts. The B4I consortium consists of partners that have (i) unique technological expertise in the area of digitization, AI, 3D printing, lasers and new materials; (ii) already existing network of clients from the SME sector; (iii) experience and ability with developing and delivering value added market and client consulting services. This mix of expertise under one roof guarantees that B4I can achieve complex goals in EDIH project. The B4I is an integral part of the STAR region with the presence of top science and applied research and technological and innovative companies. STAR has a functional innovation eco-system. B4I consortium has developed a strong linkages to other important actors in the innovation ecosystem in other regions in CR. We can use it not only in exchanging experience but also in developing new services, generate network of external experts and also exchanging clients between the centers.</t>
  </si>
  <si>
    <t>Jana De Merlier</t>
  </si>
  <si>
    <t>Za Radnicí 828, 25241 Dolní Břežany, Czechia</t>
  </si>
  <si>
    <t>https://www.brain4industry.cz/</t>
  </si>
  <si>
    <t>aeronautics, automotive, defence, manufacturing and processing, space, energy, life sciences, metal working and industrial production, education</t>
  </si>
  <si>
    <t>ecosystem building, innovation management, sme support, technology transfer, prototyping, finance, knowledge transfer</t>
  </si>
  <si>
    <t>additive manufacturing, artificial intelligence decision support, digital twins, industrial biotechnology, laserbased manufacturing and materials processing, micro and nanoelectronics, optoelectronics, photonics, robotics, sensors vision processing systems, simulation engineering and modelling, virtual reality</t>
  </si>
  <si>
    <t>EUNITED Digital Hub</t>
  </si>
  <si>
    <t>EUNITED Digital Hub is a European Digital Innovation Hub (EDIH) led by UNIT.City, Ukraine’s largest innovation park, in partnership with 16 partners: universities, NGOs, and industry leaders. It is not just a service provider — it is an ecosystem builder. EUNITED is a powerful consortium fostering collaboration, innovation, and resilience for SMEs and public institutions supporting the movement towards a stronger, smarter, and globally competitive Ukraine as a part of the European family.</t>
  </si>
  <si>
    <t>Mykola Kukhtiei</t>
  </si>
  <si>
    <t>str. Dorohozhytska, 3, Kyiv, 04112, Ukraine</t>
  </si>
  <si>
    <t>https://unit.city/</t>
  </si>
  <si>
    <t>aeronautics, agricultural biotechnology and food biotechnology, automotive, communityled local development, construction assembly, consumer products, cultural and creative economy, defence, education, electricity, energy, energy, fuels and petroleum engineering, environment, financial, food and beverages, health care, legal aspects, life sciences, manufacturing and processing, maritime, metal working and industrial production, mining and extraction, nmp nonmetallic materials basic processes, personal services, polymers and plastics, public administration, real estate, regulation, retail, wholesale or distribution, security, smart city, telecommunications, textiles, transport mobility, transport sector, travel and tourism</t>
  </si>
  <si>
    <t>additive manufacturing, artificial intelligence decision support, bi tools, big data, blockchain and distributed ledger technology dlt, chemical engineering plants, products, cloud services, communication network, cyberphysical systems, cybersecurity, data,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</si>
  <si>
    <t>The European Digital Innovation Hub for the Greater Rotterdam-The Hague Area</t>
  </si>
  <si>
    <t>Digitalzh is the EDIH for the province of Zuid-Holland (NL). Digitalzh focuses on Manufacturing, Port &amp; Maritime Industry and Horticulture. Our technology differentiators are AI for XXL-scale robotics and additive manufacturing, connected systems (IoT, 5G, Quantum) and cybersecurity. The EDIH will inform 1500 SMEs, activate 600 SMEs to work on digitalization, and support 60 SMEs in deployment of such technologies. Our consortium consists of InnovationQuarter, the economic development agency for Zuid-Holland, and TU Delft, who both already play a pivotal role in supporting SMEs. Digitalzh is supported by the Dutch Ministry of Economic Affairs and Climate and the Province of Zuid-Holland. Digitalzh expands on the previous SMITZH program that has reached over 650 SMEs, executed dozens of tests, trained over 1000 people and guided over 100 users to internationalization.We work according to a structured funnel approach. In Stage 1, INFORM, we show digitalization options to SMEs and explain their benefits. Some SMEs enter Stage 2, ACTIVATE, where we evaluate their digital maturity and connect them with standard services. In Stage 3, DEPLOY, we help SMEs with specialized services, testing and training opportunities to take the first steps toward deployment. We provide a fast track where we connect SMEs with regular needs to service providers, and a deep track where we guide groups of SMEs with comparable, advanced needs. We expect to discover which services and advanced technologies are most effective. Lessons learned will be exchanged in the EDIH network. We manage the feedback loop to improve EDIH services and use this to improve regional education and build up human capital in the longer term. As a member of the EDIH network, we plan collaboration with EDIHs in The Netherlands, Germany, Flanders and Spain and European networks such as EEN, S+T+ARTS and Startup Europe.</t>
  </si>
  <si>
    <t>Tim Franken</t>
  </si>
  <si>
    <t>Prinses Margrietplantsoen 32, 2595BR Den haag, Netherlands</t>
  </si>
  <si>
    <t>https://www.digitalzh.nl</t>
  </si>
  <si>
    <t>aeronautics, manufacturing and processing, maritime, space, telecommunications, agricultural biotechnology and food biotechnology</t>
  </si>
  <si>
    <t>ecosystem building, field trial, finance, knowledge transfer, prototyping, regional development, smart specialisation strategies, sme support, technological innovation, technology transfer, vocational training</t>
  </si>
  <si>
    <t>additive manufacturing, artificial intelligence decision support, blockchain and distributed ledger technology dlt, communication network, cyberphysical systems, cybersecurity, internet of things, quantum technologies computingcommunication, robotics, virtual reality, locationbased applications</t>
  </si>
  <si>
    <t>EDIH for urban interconnected supply and value Ecosystems</t>
  </si>
  <si>
    <t>Hamburg is not only an important european logistics and business location, but also an award-winning "Smart City" in the sense of an European innovation metropolis. In its function in the metropolitan region of Hamburg, it fulfills an important economic, but also geographic bundling function, in which intermodal transport, logistics, industry, and (public and private) infrastructure providers are concentrated in a confined space and interact with each other. The EDIH4UrbanSAVE "EDIH for urban interconnected supply and value Ecosystems" will be both aligned with the specific economic and geographic conditions of the location and its needs in the future, as well as developed in line with innovation policy in accordance with the Smart Specialization and Regional Innovation Strategy (RIS3) of the metropolitan region. In particular, the requirements for critical infrastructure will change considerably, so that new technological solutions must be evaluated and implemented, whether in the area of cybersecurity, AI, HPC, or digitalization. This is exactly where the portfolio and network of the Hamburg EDIH comes in: Provide services that will enable the ecosystem to invest in these technological solutions, let it be, new traffic and logistics concepts, which will be supplemented by, for example, autonomous vehicles or also drone technologies, or also innovative autonomous logistics node concepts. Thus, the EDIH services will supply specific formats that will combine the technological areas with use cases and requirements of these innovations. Due to the well established beneficiaries, the Hamburg EDIH consortium has sufficient maturity to establish the innovation ecosystem at the location in a target-oriented manner and to comprehensively map the role of an EDIH required by the EU. Years of working in the innovation ecosystem of the metropolitan provides the project partners with experience and target group access.</t>
  </si>
  <si>
    <t>Stephanie von Riegen</t>
  </si>
  <si>
    <t>Vogt-Koelln-Strasse 30, 22527 Hamburg, Germany</t>
  </si>
  <si>
    <t>http://edih-hamburg.de</t>
  </si>
  <si>
    <t>aeronautics, cultural and creative economy, food and beverages, manufacturing and processing, retail, wholesale or distribution, maritime, public administration, smart city, security, transport mobility, transport sector, polymers and plastics</t>
  </si>
  <si>
    <t>ecosystem building, knowledge transfer, innovation management, prototyping, public sector innovation, regional development, sme support, sme business development, technological innovation</t>
  </si>
  <si>
    <t>artificial intelligence decision support, cybersecurity, high performance computing, big data, cloud services, locationbased applications, logistics, quantum technologies computingcommunication, internet of things, sensors vision processing systems, virtual reality, human computer interaction</t>
  </si>
  <si>
    <t>INFAB HUB</t>
  </si>
  <si>
    <t>The INFAB HUB has as its priority objectives the promotion and development of innovation in the business fabric in order to achieve a higher level of competitiveness and the promotion of an appropriate legal framework for the development of this industry and its promotion within and outside the autonomous region. In the same way, it works actively to achieve common objectives in the field of innovative industrial activity, particularly in the development of projects that contribute to the creation, accumulation and dissemination of knowledge; in the improvement of productivity through greater innovation and process optimization among the activities of its members; in innovation, through joint research; and in the promotion of visibility, the strategic importance of industrial activity. HUB focuses on the digitalization of industry and related services for more efficient manufacturing processes. To achieve this, the HUB makes use of technologies such as blockchain, digital twin, internet of things, machine learning and also one of the key disruptive technologies in industry: Artificial Intelligence (AI), framed within the European Strategy for Artificial Intelligence (AI), as well as the Spanish Strategy for R&amp;D&amp;I in Artificial Intelligence, where the national priorities regarding Artificial Intelligence for the Spanish Strategy for Science, Technology and Innovation (EECTI) 2021-2028 are stated. Therefore, INFABHUB offers its expertise in the field to other companies to carry out a knowledge transfer to them, providing them with critical digital skills in order to achieve better productive manufacturing processes.</t>
  </si>
  <si>
    <t>Maria Campos</t>
  </si>
  <si>
    <t>Avenida del doctor corbal 51, 36207 Vigo Pontevedra, Spain</t>
  </si>
  <si>
    <t>https://infabhub.eu/</t>
  </si>
  <si>
    <t>aeronautics, automotive, space, textiles, maritime, transport sector</t>
  </si>
  <si>
    <t>technology transfer, ecosystem building, knowledge transfer, prototyping, regional development, technological innovation, sme support</t>
  </si>
  <si>
    <t>artificial intelligence decision support, big data, blockchain and distributed ledger technology dlt, cloud services, digital twins, cybersecurity, internet of things, virtual reality</t>
  </si>
  <si>
    <t>MOVE2DIGITAL, the French SUD Provence-Alpes-Côte d’Azur region one-stop-shop to support the digital transformation and ecosystem building of SMEs, through AI, Cybersecurity, and IoT</t>
  </si>
  <si>
    <t>The EDIH Move2Digital will act as a one-stop shop for SMEs in the French SUD Provence-Alpes-Côte d’Azur region to support their digital transformation and will position supporting activities on Artificial Intelligence (AI), cybersecurity and Internet of Things (IoT). This is in line with two of the core technologies of DIGITAL, i.e. AI and Cybersecurity. Also it addresses an additional key technological focus, consistent both with AI and cybersecurity as well as regional background and assets, i.e. IoT.
Move2Digital will address the seven strategic industrial sectors of the region, namely Greentech, Chemical industry, Energy, Health, Space &amp; safety, Blue economy, Agri/aroma &amp; fragrance, representing a potential of 1400 SMEs with needs in terms of digital transformation.
Based on a consortium composed of industrial and technological clusters and leading academic and research entities, Move2Digital will rely on a strong digital ecosystem composed of a significant corpus of solution providers and on an interconnected network of active research laboratories in these key digital domains.
A portfolio of 17 dedicated services, complement to the existing regional offer, will be proposed to regional SMEs and entities, but also coming from other EDIHs, gathered around 4 pillars: Test before invest (incl. awareness rising and diagnostic), Innovation ecosystem &amp; networking, Support to find investment, Skills &amp; training for upskilling the workforce for these advanced digital technologies.
With a not-for-profit goal, Move2Digital will play an active brokering role both at the regional and European levels by networking with other EDIHs. A specific concern will handle ethic issues towards ensuring safety, privacy, and maximising societal and environmental welfare, by setting up a dedicated ethic board. This will aim to validate that trustworthy digital solutions are proposed, ensuring that end-users are confident in testing and adopting trustful digital solution technologies.</t>
  </si>
  <si>
    <t>Noémie Keller</t>
  </si>
  <si>
    <t>2000, route des Lucioles, 06410 Biot, France</t>
  </si>
  <si>
    <t>https://www.move2digital.eu/</t>
  </si>
  <si>
    <t>aeronautics, agricultural biotechnology and food biotechnology, defence, energy, environment, fishery, food and beverages, health care, maritime, security, smart city, space</t>
  </si>
  <si>
    <t>circular economy, field trial, finance, innovation management, prototyping, regional development, smart specialisation strategies, sme business development, sme support, technological innovation, technology transfer, vocational training</t>
  </si>
  <si>
    <t>artificial intelligence decision support, big data, cybersecurity, internet of things, micro and nanoelectronics, optoelectronics, semiconductors and nanotechnology</t>
  </si>
  <si>
    <t>Puglia Innovation Center for Safety and Security</t>
  </si>
  <si>
    <t>Puglia Innovation Center for Safety and Security (PICS2) aims to support Public Bodies and small and medium enterprises operating in Industrial Development Areas and in Special Economic Zones, by transferring culture and awareness to ease and speed up the process of digital and green transition and enhance its impact on personnel. To facilitate change to digital, PICS2 will focus on the issues of intelligent integration of data and services, safety (health and welfare of people, environmental protection, prevention and protection from natural disasters) and security (protection of industrial, logistics, customs and energy infrastructure, both in physical and digital terms). Services will be provided in four key areas: Technologies, Business, Ecosystem and Training. A strict collaboration with others national and European EDIH will be established to explore synergies and management options for digital transition.</t>
  </si>
  <si>
    <t>Patrizia Guida</t>
  </si>
  <si>
    <t>S.s. 100 km. 18,00, 70010 Casamassima (ba) TA, Italy</t>
  </si>
  <si>
    <t>aeronautics, agricultural biotechnology and food biotechnology, construction assembly, education, food and beverages, retail, wholesale or distribution</t>
  </si>
  <si>
    <t>ecosystem building, technological innovation, technology transfer</t>
  </si>
  <si>
    <t>chemical engineering plants, products, cybersecurity, locationbased applications</t>
  </si>
  <si>
    <t>Research and innovation Organization for the disseMination of knowledge on advanced tEchnologies  Digital Hub</t>
  </si>
  <si>
    <t>The R.O.M.E. Digital Hub - also called R.O.M.E. - main objective is to accelerate the digital transformation of SMEs and Public Sector Organizations (PSOs), by offering them innovative and affordable services covering an extensive area including Northern and Central Italy with a focus on the Lazio Region. The R.O.M.E. network of partners is composed of organizations such as SMEs, Technology Parks, Universities, R&amp;D Centres, Entrepreneurial Associations as well as a DIH, having suitable knowledge and experience to achieve the mentioned goal. The R.O.M.E. strength lies indeed in first instance in the already existing synergy among partners as well as in the management capacity and long expertise of the Coordinator, hosting several companies in its technology park. Secondly, SMEs Consortium and the Coordinator both have been supporting SMEs for a long time and they are familiar with small business issues, thereby making the R.O.M.E. proposal suitable for properly overcoming the barriers to the digital transformation. The R.O.M.E. services catalogue covers the key technologies High Performance Computing, Cybersecurity and Artificial Intelligence - the main technology - as well as Advanced Digital Skills such as IoT, Blockchain and Computer Vision. The R.O.M.E. expected results for SMEs are: establishing networks to strengthen their investment capacity, creating shared investment processes and facilitating the industrialization of R&amp;D projects, also in order to promote future mergers and integrations between similar realities to acquire or strengthen the competitiveness in a specific sector. As to PSOs: a better understanding of the community needs with a positive impact on citizens, a higher level of quality services and a modern innovative attitude in finding new solutions to digitalization challenges.</t>
  </si>
  <si>
    <t>Angela CIANCIA</t>
  </si>
  <si>
    <t>via Ardito Desio 60, 00131 Roma RM, Italy</t>
  </si>
  <si>
    <t>aeronautics, agricultural biotechnology and food biotechnology, automotive, communityled local development, construction assembly, cultural and creative economy, defence, education, energy, environment, financial, health care, life sciences, manufacturing and processing, maritime, public administration, security, smart city, space, telecommunications, transport mobility, travel and tourism</t>
  </si>
  <si>
    <t>circular economy, field trial, finance, innovation management, knowledge transfer, prototyping, public sector innovation, regional development, sme business development, sme support, technological innovation, technology transfer, vocational training</t>
  </si>
  <si>
    <t>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mobility, new technologies for audiovisual sector media, quantum technologies computingcommunication, robotics, sensors vision processing systems, simulation engineering and modelling, software architectures, virtual reality</t>
  </si>
  <si>
    <t>Creating a lever for a future-proof and sustainable economy for Brussels enabled by AI and other emerging digital technologies</t>
  </si>
  <si>
    <t>The industrial tissue of the Brussels-Capital Region (BCR) consists of 99.7% of SMEs and has a high concentration of digital and service-oriented companies. Digital technology is the major driver of their innovations. Nevertheless, these companies perform slightly below the European average on the uptake of Artificial Intelligence (AI) and finish third last in using ICT for environmental sustainability. This specific context justifies the launch of a European Digital Innovation Hub (EDIH) in Brussels. It will act as single point of access for companies to sustainable digital innovation, enabled by AI and other emerging technologies. Based on the local industrial needs and in line with the policies of the Brussels-Capital Region, the following strategic objectives have been defined for the EDIH: - Encourage and facilitate digital innovation for economic, social and environmental transition - Contribute to the post-Covid recovery - Strengthen Brussels’ leadership in artificial intelligence - Be a gateway to Europe, promoting and enriching Brussels’ expertise and industry - Facilitate digitization of the Brussels’ industry This proposal brings together all necessary elements to implement a successful EDIH in Brussels: - A thematic focus that translates into a balanced and flexible service portfolio to support the regional SMEs to improve their (future) competitiveness. - A strong support from the Brussels-Capital Region that aspires to be frontrunner in Belgium and Europe. It will co-finance the EDIH for 50% during the next 7 years with an amount of 2.1M€ for the first 3 years. - A lean and experienced consortium that can deliver the services in 3 different languages (French, Dutch &amp; English) and set up European corridors and reach out to other EDIHs. The EDIH will be implemented by 5 complementary innovation actors in Brussels being Agoria, Sirris, BeCentral, ULB and VUB. It will reach 1500 companies.</t>
  </si>
  <si>
    <t>Ludwig De Locht</t>
  </si>
  <si>
    <t>August Reyerslaan 80, 1030 Brussel, Belgium</t>
  </si>
  <si>
    <t>https://www.sustain.brussels/</t>
  </si>
  <si>
    <t>aeronautics, communityled local development, construction assembly, education, electricity, energy, environment, financial, health care, life sciences, personal services, security, smart city, telecommunications, transport mobility, textiles</t>
  </si>
  <si>
    <t>circular economy, ecosystem building, innovation management, knowledge transfer, sme business development, sme support, technological innovation, technology transfer, finance</t>
  </si>
  <si>
    <t>artificial intelligence decision support, big data, additive manufacturing, blockchain and distributed ledger technology dlt, cloud services, communication network, cyberphysical systems, digital twins, high performance computing, human computer interaction, internet of things, cybersecurity, internet services applications, robotics, sensors vision processing systems, simulation engineering and modelling, mobility, software architectures</t>
  </si>
  <si>
    <t>INTERA Technology Park</t>
  </si>
  <si>
    <t>Vedran Šimunović</t>
  </si>
  <si>
    <t>Bišće polje, Mostar, Bosnia and Herzegovina</t>
  </si>
  <si>
    <t>https://intera.ba/</t>
  </si>
  <si>
    <t>aeronautics</t>
  </si>
  <si>
    <t>circular economy</t>
  </si>
  <si>
    <t>Cineca Consorzio Interuniversitario</t>
  </si>
  <si>
    <t>Cineca is a non-profit Consortium, made up of 67 Universities, 9 Research Institutions and the Italian Ministry for University and Research. The HPC department of CINECA (SCAI) is the largest computing centre in Italy. CINECA offers industries a state-of-the-art HPC-cloud environment, specialized training, access to competences from the excellences constituting the Consortium, and support to access funding for R&amp;D activities. We are partner of 3 EDIHs, and two national initiatives, CTE COBO (aka The House of Emerging Technologies - Bologna) and the IFAB foundation</t>
  </si>
  <si>
    <t>Claudio Arlandini</t>
  </si>
  <si>
    <t>Via magnanelli 2 - casalecchio di reno (bo), 40033 Bologna BO, Italy</t>
  </si>
  <si>
    <t>https://www.cineca.it</t>
  </si>
  <si>
    <t>aeronautics, automotive, cultural and creative economy, education, energy, energy, fuels and petroleum engineering, environment, financial, food and beverages, life sciences, manufacturing and processing, maritime, public administration, smart city, space, transport mobility</t>
  </si>
  <si>
    <t>ecosystem building, innovation management, prototyping, sme support, technological innovation, technology transfer</t>
  </si>
  <si>
    <t>artificial intelligence decision support, big data, digital twins, high performance computing, quantum technologies computingcommunication, sensors vision processing systems, simulation engineering and modelling, software architectures</t>
  </si>
  <si>
    <t>CNA Emilia-Romagna</t>
  </si>
  <si>
    <t>CNA Hub 4.0, the Digital Innovation Hub of CNA Emilia-Romagna, serves as the access point to services and tools for the development of Small and Medium-Sized Enterprises (SMEs) in the areas of digitalization and sustainability.CNA Hub 4.0 aims to create and maintain a strong connection among key players (research laboratories, businesses, institutions, Innovation Centers, Clust-ER, etc.) to promote digital transition, knowledge generation, and technological and organizational innovation, while capitalizing on skills and relationships.
ServicesTo assist companies in their growth and transformation processes, CNA HUB 4.0 offers a service catalog which, starting from a bottom-up approach, provides tailored and precise responses to expressed needs:
Innovation and Research
Financial Consulting and Credit
Training and Skills
Internationalization
Sustainability
CNA HUB 4.0 provides companies with actual intervention plans, based on tools and check-ups, to address their needs. Among these, there are custom-built indicators of technological and sustainability maturity levels for SMEs, designed to support them in their transformation processes.CNA HUB 4.0 coordinates a network of 10 Digital Innovation Hubs (DIHs), real local access points to tools, services, and relationships useful for the development of SMEs, with the aim to guide companies in understanding their digital maturity and sustainability approach, while identifying key areas for intervention and available incentives at all levels, from local to European.
CNA Emilia-Romagna, through CNA Innovazione, the technology transfer and innovation center accredited by the Emilia-Romagna Region, has become member of the 7 Clust-ERs active in the region (Agri-food, Culture and Creativity, Urban Economy, Energy and Sustainability, Service Innovation, Mechatronics and Motor, and Tourism and Territory) created to support SMEs in their growth and in fostering synergies with the regional research and innovation system.
It is also featured on Atlante 4.0, the first portal promoted by Unioncamere and the Ministry of Economic Development, aimed at showcasing national structures that support companies in technology transfer and digital transformation processes.
Since 2022, the regional CNA HUB 4.0 and local HUBs have been accredited within the Digital Transition Network of the Emilia-Romagna Region.
CNA’s innovative services are also included in the it-ER Service Guide by ART-ER, as an organization providing direct or indirect support to international talents in Emilia-Romagna.</t>
  </si>
  <si>
    <t>Marcella Contini</t>
  </si>
  <si>
    <t>Via rimini 7, 40131 Bologna BO, Italy</t>
  </si>
  <si>
    <t>https://www.cnaemiliaromagna.it/en/cna-hub-4-0/digital-innovation-hub/</t>
  </si>
  <si>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life sciences, manufacturing and processing, maritime, metal working and industrial production, nmp nonmetallic materials basic processes, personal services, real estate, retail, wholesale or distribution, telecommunications, textiles, transport sector, travel and tourism, paper and wood, polymers and plastics, security, smart city, space, tobacco, transport mobility</t>
  </si>
  <si>
    <t>circular economy, ecosystem building, finance, innovation management, knowledge transfer, prototyping, smart specialisation strategies, sme business development, technological innovation, technology transfer, vocational training</t>
  </si>
  <si>
    <t>additive manufacturing, artificial intelligence decision support, big data, blockchain and distributed ledger technology dlt, cloud services, communication network, cyberphysical systems, cybersecurity, gamification, high performance computing, human computer interaction, internet of things, internet services applications, mobility, new technologies for audiovisual sector media, virtual reality, sensors vision processing systems</t>
  </si>
  <si>
    <t>Hub 4.0 of Manufacturing Sectors in  Valencian Region</t>
  </si>
  <si>
    <t>HUB4MANUVAL is a Digital Innovation Hub that will stimulate the uptake of Robotics,CPS/IoT and Artificial Intelligence (AI)by Valencian manufacturing SMEs and MidCaps. The HUB will support manufacturing companies in order to be more competitive, prioritizing SMEs in the manufacturing sectors of relevance at Regional Level, but conecting also with relevant big players, as they can atract others in relevant sectors. The mission of HUB4MANUVAL is to be a reference one-stop shop Digital Innovation Hub (DIH) for manufacturing companies requiring innovation solutions in the field of robotics and ICT, bridging the gap between research and industry. The Hub will play the role of centralising and facilitating the use of these technologies to the Valencian manufacturing ecosystem and will provide SME´s and stakeholders with facilities where they will be able to access Robotics, AI and CPS/IoT resources. It will follow a collaborative model by bringing together the main value chain actors and promoting collaborative R&amp;I. The technologies used will be demonstrated to be complementary, showing that industry can be empowered when both are combined. The hub’s unique combination of partners and stakeholders will effectively allow HUB4MANUVAL to establish itself as an Industry 4.0 one-stop-shop for local manufacturing companies. By providing a gateway to specialist platforms and infrastructures, the DIH will be able to help companies assess their digital needs, find or develop optimal solutions for those needs and secure the necessary funding to implement those digital transformation solutions. HUB4.0MANUVAL is part of InnDIH EDIH Industry 5.0 CoP</t>
  </si>
  <si>
    <t>Francisco Blanes</t>
  </si>
  <si>
    <t>Universitat politécnica de valencia. instituto universitario de automática e informática industrial, 46022 Valencia Valencia, Spain</t>
  </si>
  <si>
    <t>https://hub4manuval.es/en/</t>
  </si>
  <si>
    <t>aeronautics, agricultural biotechnology and food biotechnology, automotive, education, energy, food and beverages, health care, manufacturing and processing, transport sector</t>
  </si>
  <si>
    <t>knowledge transfer, prototyping, technological innovation, technology transfer</t>
  </si>
  <si>
    <t>cyberphysical systems, digital twins, internet of things, robotics, sensors vision processing systems, software architectures</t>
  </si>
  <si>
    <t>Innovation Cluster Drachten</t>
  </si>
  <si>
    <t>We are a group of 23 high-tech companies in Northern Netherlands (4600 FTE) that work together on solutions for future challenges at the cutting edge of technology. We call this the Big 5 of high-tech: metal 3D printing, remote sensoring and big data, robotics, visual intelligence and renewable propulsion. We use the latest technology and, if needed, we develop it ourselves. Our R&amp;D departments (1300 FTE) work together in a unique way and, instead of competing with each other, support and reinforce each other. Every year, we create more than 50 innovative products worldwide. These products contribute to society problems. We are connected to 6SDG's (sustainable development goals) Our collaboration is called Innovatiecluster Drachten and is centrally located in the smart factory region of North-West Europe. We partnered in the Smart Industry Hub Northern Netherlands and the Dutch National Fieldlabs organization. We will be involved in the European Digital Innovation Hub and are an I space label Bronze at the BDVA Partnerships with FME, Metaalunie, Rijksuniversiteit Groningen, NOM and Holland High Tech. Interreg project with HochSchule EmdenLeer</t>
  </si>
  <si>
    <t>Joost Krebbekx</t>
  </si>
  <si>
    <t>Oliemolenstraat 5 drachten (philips site), 9203 ZN Drachten, Netherlands</t>
  </si>
  <si>
    <t>https://www.icdrachten.nl/</t>
  </si>
  <si>
    <t>aeronautics, automotive, consumer products, electricity, health care, life sciences, manufacturing and processing, maritime, space, transport mobility</t>
  </si>
  <si>
    <t>ecosystem building, finance, innovation management, knowledge transfer, prototyping, regional development, smart specialisation strategies, technological innovation, technology transfer</t>
  </si>
  <si>
    <t>additive manufacturing, artificial intelligence decision support, big data, cloud services, cyberphysical systems, cybersecurity, high performance computing, human computer interaction, internet of things, laserbased manufacturing and materials processing, micro and nanoelectronics, optoelectronics, mobility, virtual reality, photonics, robotics, sensors vision processing systems, simulation engineering and modelling</t>
  </si>
  <si>
    <t>Jožef Stefan Institute</t>
  </si>
  <si>
    <t>Jožef Stefan Institute (JSI) is the Digital Innovation Hub (DIH). As the central part of development, digitization and industrial relations at national and international level, the hub is establishing a system of collaboration between the IJS research departments, the domestic and foreign economy, and the partner networks within the Europe Enterprise Europe Network. The hub provides “one-stop shops” and cross-border technology transfer services in the EU and serves as a contact point for the local ecosystem in Slovenia. Jožef Stefan Institute DIH is an EDIH DIGI-SI that fosters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delivers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t>
  </si>
  <si>
    <t>Tomaž Justin</t>
  </si>
  <si>
    <t>Jamova ulica 39, 1000 Ljubljana, Slovenia</t>
  </si>
  <si>
    <t>http://tehnologije.ijs.si/en/?page_id=5080</t>
  </si>
  <si>
    <t>aeronautics, agricultural biotechnology and food biotechnology, automotive, defence, electricity, energy, energy, fuels and petroleum engineering, environment, health care, life sciences, manufacturing and processing, telecommunications, nuclear, security, smart city</t>
  </si>
  <si>
    <t>circular economy, innovation management, knowledge transfer, prototyping, smart specialisation strategies, sme business development, sme support, technological innovation, technology transfer</t>
  </si>
  <si>
    <t>additive manufacturing, artificial intelligence decision support, big data, bi tools, blockchain and distributed ledger technology dlt, cloud services, cyberphysical systems, cybersecurity, digital twins, high performance computing, human computer interaction, industrial biotechnology, internet of things, laserbased manufacturing and materials processing, micro and nanoelectronics, optoelectronics, virtual reality, organic and large area electronics, photonics, quantum technologies computingcommunication, robotics, semiconductors and nanotechnology, sensors vision processing systems, simulation engineering and modelling, software architectures</t>
  </si>
  <si>
    <t>SINTEF AS</t>
  </si>
  <si>
    <t>For more than 70 years, SINTEF has developed solutions and innovation for society and customers all over the world. SINTEF is based in Norway and is one of Europe's largest independent research organizations (about 2200 employees) and covers research and innovation in technologies and social sciences. SINTEF is a not-for-profit organization and any financial surplus is invested in scientific equipment, skills, and expertise. SINTEF is made up of 6 research institutes, each dedicated to one of the following thematic topics: Community, Energy Research, Industry, Manufacturing, Ocean and Digital. In addition, SINTEF Holding manages ownership in start-up companies and other enterprises. SINTEF is primarily located in Trondheim (1400 employees) and Oslo (400 employees). We are also in many other locations in Norway (Bergen, Tromsø, Ålesund, Raufoss, Mo i Rana, Porsgrunn, Bergen), as well as in Brussels and Hirtshals (Denmark). SINTEF also operates a research station in Svalbard. SINTEF´s management system is certified (by DNV) to be in accordance with ISO 9001:2015, ISO 14001:2015 and ISO 45001:2018. In 2016, SINTEF carried out 5700 research projects for 4000 customers. Our multidisciplinary approach enables us to create teams with the broad range of expertise our customers and projects often demand. In terms of SINTEF as an EDIH and DIH, we provide services within ecosystem, technology and business to a large range of customers from small companies and start-ups to large industries and public sector organizations. We contribute to supporting industry and public sector partners and customers in all steps to increase capabilities in digitalization; creating awareness and educating on opportunities, securing funding, building collaborations, develop and test solutions, implement results, and supporting growth, up-scaling and internationalization. In the following, we summarize our services. **Ecosystem: SINTEF is part of, and contribute to building an innovation ecosystem with entrepreneurs, business and industry, investors, research organizations and universities, and public authorities. SINTEF contribute to organizing workshops, conferences and other venues to create awareness about AI, data and robotics technology and other aspects (incl. ethical), market opportunities and build a further stronger innovation ecosystem throughout Norway. To this end, we also lead national and EU research and innovation networks within, e.g., inspection and maintenance (RINVE-nettverket), construction (Grønt Anlegg), and more. Moreover, we provide market and technology trends and provide strategy development support. **Technology: SINTEF researches and provides competence, methods and technologies within a range large of areas with AI, data and robotics, including, e.g., autonomous systems, digital twins, digital transformation, explainable AI, standards, benchmarking, big data, machine learning, and more. We develop both generic technologies, as well as methods and technologies specifically designed for specific use cases and market areas including, e.g., search and rescue, renewables, process industry, aquaculture, fisheries, healthcare, transportation, and more. In addition, we have over 100 laboratories, including AI infrastructure, that form the basis for our research and are used in collaboration with our customers. The laboratories include from zero-emission buildings, to ocean basins, nano, CO2, electrical engineering and full-scale aquaculture sites - world-leading laboratories, from ocean space to outer space. More info can be found here: https://www.sintef.no/en/all-laboratories/ **Business and training: The commercialization of our research results is part of SINTEF's role in society. We achieve this by developing and transferring results to our customers, by means of licensing and creating new companies based on technologies developed as part of our research activities. SINTEF has spun-out a number of new companies including Zivid, a company specializing on 3D sensors. A main service from SINTEF is project development where we help companies and the public sector to identify innovation opportunities and corresponding funding opportunities to enable access to finance to realize the innovation potential. Moreover, SINTEF organizes SINTEF-led courses for skills and development (e.g., AI and machine learning), as well as that many of our employees collaborate with universities to educate BSc, MSc and PhD students, and support to supplementary training of the workforce. SINTEF also spins-out companies and thus provides an incubator/accelerator support service. Network and partnerships: SINTEF participates actively in a number of networks and partnerships in Norway and in Europe. We use our involvement to connect and support Norwegian organizations (start-ups, SMEs, large industry, public sector) to European and national initiatives and organizations. SINTEF has an active dialog with the Norwegian government and regional authorities to define strategies for digitizing the industry and public sector. To this end, we also collaborate with large industry organizations such as The Confederation of Norwegian Enterprise (NHO) which is Norway’s largest organization for employers and the leading business lobbyist and Landsorganisasjonen i Norge (labor union), as well as sector-specific industry associates such as Energi Norge (Energy Norway) and Norsk Forening for Vedlikehold (Norwegian Society for Maintenance). SINTEF contributes to strategic research agendas in euRobotics, BDVA and ADRA (AI, data and robotics associations), where the latter, in particular, communicates with the European Commission. To form a basis for our inputs to the research agendas, we coordinate with Norwegian industry and public sector. SINTEF is one of the founders and owners of Digital Norway. Digital Norway is a non-profit organisation established in 2017 by a group of the largest companies in Norway, with public support. The goal is to increase the knowledge and use of digital technology amongst Norwegian companies, with a special emphasis on Small and Medium Enterprises (SMEs). Digital Norway provides courses and training, meeting places, and takes part in the national debate behalf of SMEs and their needs. They also initiate and lead large collaborative projects in data sharing to further accelerate the digitalisation of the Norwegian business community. Digital Norway is the coordinator of NEMONOOR, a Norwegian EDIH, and a national hub for artificial intelligence. SINTEF is a partner in NEMONOOR, delivering services to Norwegian business. SINTEF Digital hosts a yearly conference "Digtal Future". A meeting place for policy makers business and researcher to share knowledge and tools to lead the way in the digital and green transformation.</t>
  </si>
  <si>
    <t>Aksel A. Transeth</t>
  </si>
  <si>
    <t>Sintef, strindvegen 4, 7034 Trondheim, Norway</t>
  </si>
  <si>
    <t>https://www.sintef.no/en/explore-our-services/</t>
  </si>
  <si>
    <t>aeronautics, agricultural biotechnology and food biotechnology, automotive, communityled local development, construction assembly, consumer products, defence, education, electricity, energy, energy, fuels and petroleum engineering, environment, financial, fishery, food and beverages, health care, life sciences, manufacturing and processing, maritime, metal working and industrial production, mining and extraction, personal services, public administration, telecommunications, textiles, transport sector, travel and tourism, nuclear, paper and wood, polymers and plastics, security, smart city, space, transport mobility, legal aspects, regulation</t>
  </si>
  <si>
    <t>circular economy, ecosystem building, field trial, finance, innovation management, knowledge transfer, prototyping, public sector innovation, regional development, sme business development, sme support, technological innovation, technology transfer, vocational training</t>
  </si>
  <si>
    <t>additive manufacturing, artificial intelligence decision support, big data, blockchain and distributed ledger technology dlt, chemical engineering plants, products, cloud services, communication network, cyberphysical systems, cybersecurity, digital twins, gamification, high performance computing, human computer interaction, internet of things, internet services applications, logistics, micro and nanoelectronics, optoelectronics, mobility, virtual reality, quantum technologies computingcommunication, robotics, semiconductors and nanotechnology, sensors vision processing systems, simulation engineering and modelling, software architectures</t>
  </si>
  <si>
    <t>The Cyber DIH is the Spanish EDIH candidate specialised in Cybersecurity officially launched in February 2019 in the City of LeÃ³n, Spain. This candidacy is the result of a public-private initiative driven by common understanding of the industry and society needs in the field of Cybersecurity. CyberDIH will contribute to leverage a Cybersecurity oriented Network of EDIHs starting to deliver cybersecurity-oriented digital transformation services particularly to SMEs and small public entities. The consortium has a relevant degree of maturity since they accumulated a strong experience and presence at national and international level. Coordinated by the AEI Ciberseguridad with more than 15 years of background, INCIBE as the National institute purely dedicated to promote Cybersecurity since 2006 and ICE driving the participation and commitment of the Regional Government of Castilla &amp; LeÃ³n (JCyL) congregates a unique capacity to stimulate innovation and capacity as a referent in Spain aiming to contribute widely to the forthcoming EDIHs Network. The candidacy is founded or based on a quality system-based methodology to ensure accessible, available, efficient and valuable services for SMEs, public entities and mid-caps. In such way, the whole portfolio of services will be structured and focused on the service delivery capacity, the exhibition of such capacity to support and validate existing and new cybersecurity solutions, processes and services pivoting around the wide networking capacity of the consortium. INCIBE has a national scope, ICE is the EEN node in the region with international collaboration background and AEI has national nature and has set up a network of regional collaborative nodes in Spain and is also co-founder and board member of ECSO, the leading cyber-association in Europe; moreover, AEI already reached three complementary agreements with other cyber oriented and non cyber EDIHs.</t>
  </si>
  <si>
    <t>Amelia Alonso Soto</t>
  </si>
  <si>
    <t>Avda de jose aguado 41, 24001 León León, Spain</t>
  </si>
  <si>
    <t>https://www.cyberdih.com/</t>
  </si>
  <si>
    <t>aeronautics, automotive, defence, energy, public administration, security, space, telecommunications, smart city, transport mobility, travel and tourism</t>
  </si>
  <si>
    <t>field trial, prototyping, sme support, technological innovation, ecosystem building</t>
  </si>
  <si>
    <t>cybersecurity, artificial intelligence decision support, big data, cloud services, communication network, high performance computing, internet of things, internet services applications, micro and nanoelectronics, optoelectronics, mobility, software architectures, semiconductors and nanotechnology</t>
  </si>
  <si>
    <t>DIGIHALL, The Paris Region Hub supporting the digital transformation of companies by practical adoption of responsible AI</t>
  </si>
  <si>
    <t>DIGIHALL is the project supporting the EDIH Paris-Saclay, one of the reference hub in the Ile-de-France. Located on the Paris-Saclay plateau in the south West of Paris, the eDIH Paris-Saclay supports start-ups, SMEs, industries and organizations from the public sector in their digital transformation. The eDIH Paris-Saclay relies on its ecosystem to address major digital and ecological transformation issues of five sectors: aerospace, mobility, digital and security, food industry, health and energy. These sectors are chosen for their importance in the region, and are at the heart of the region's smart specialisation strategy. Taking into account the structure of the regional enterprise ecosystem, we estimate that a possible number of eDIH Paris-Saclay customers consists of 2,300 companies with a diverse distribution in these sectors. Based on its partner's expertise the eDIH will deliver to its clients practical and efficient support ot take up artificial intelligence (AI) technologies, in Cybersecurity and in using HPC. We expect to deliver approximately 800 different services to SMEs. These services are described in the eDIH catalogue. The catalogue covers four components: skills and training, test before invest, innovation ecosystem and networking and support to find investments. The proposed services will be free of charge for customers. The services will be offered by DIGIHALL consortium coordinated by CEA/List and composed of six other leading partners in innovation and over ten network partners, not part of the consortium but able to deliver services to industries. The activities of the DIGIHALL project are organized in eight work packages. We pay specific attention to engagement of SMEs and to the analysis of the impact of the services delivered. DIGIHALL will offer its services to the other EDIHs in France and in Europe in particular with the EDIHs from EDIH4MANU network. DIGIHALL to be a catalyst of the digital transformation of SMEs, thus strengthening their resilience and ensuring their competitiveness in the face of strong international competition and crisis situations.</t>
  </si>
  <si>
    <t>Christophe LEROUX</t>
  </si>
  <si>
    <t>2 Bd Thomas Gobert, 91120 Palaiseau, France</t>
  </si>
  <si>
    <t>https://edih-paris-saclay.eu/</t>
  </si>
  <si>
    <t>aeronautics, space, defence, energy, agricultural biotechnology and food biotechnology, transport mobility, nuclear, transport sector, automotive, nmp nonmetallic materials basic processes, construction assembly, health care, paper and wood, telecommunications, electricity, manufacturing and processing, metal working and industrial production, public administration, retail, wholesale or distribution, security, textiles, travel and tourism</t>
  </si>
  <si>
    <t>circular economy, ecosystem building, finance, knowledge transfer, technological innovation, field trial, vocational training, sme support, technological innovation, regional development</t>
  </si>
  <si>
    <t>artificial intelligence decision support, high performance computing, robotics, blockchain and distributed ledger technology dlt, digital twins, cybersecurity, human computer interaction, big data</t>
  </si>
  <si>
    <t>Digital Innovation Hub for Artificial Intelligence and High-Performance Computing</t>
  </si>
  <si>
    <t>Aligned and contributing for European and National policies, ATTRACT DIH defines an ambitious plan to support SMEs and public entities in their digital transformation and consolidation through the full exploitation of the synergetic potential between Artificial Intelligence and High-Performance Computing. ATTRACH DIH acts on both the supply and use of technology.
The hub will support technology-based SMEs in the design, development, validation and internationalisation of new products and services that can strongly benefit from AI or HPC, aiming at significant sales volumes at international level. Complementary, the hub will foster and assist potentially adopters of AI or HPC based solutions with dissemination and support initiatives, including the maturity assessment and definition of adoption roadmaps, aiming at leapfrog productivity gains.
To all recipients, ATTRACT will deliver specialized training services, fundraising support and will promote an active innovation ecosystem, including the collaboration with other DIHs at national and European level. To this end, ATTRACT DIH gathers the main AI and HPC research and technology-transfer centres in Portugal and their state-of-the-art experimental facilities, with a specific regional approach and coordination in the country main regions of the North, Centre, Lisbon and Tagus Valey, and South, complemented by two associations, the largest Business Association in Portugal and the Portuguese Data Science Association.
ATTRACT members lead the four national HPC infrastructures and are National Competence Centres for HPC and related technologies from the EuroHPC JU EuroAccess network. As such, the hub is in a unique position to foster the utilisation of the HPC resources available in Portugal in general and to leverage them to enable the training of AI models that would not be feasible on-premises.</t>
  </si>
  <si>
    <t>Vasco Figueiredo Teles</t>
  </si>
  <si>
    <t>Campus FEUP, R. Dr. Roberto Frias, 4200-465 Porto, Portugal</t>
  </si>
  <si>
    <t>https://attract-edih.eu</t>
  </si>
  <si>
    <t>aeronautics, agricultural biotechnology and food biotechnology, automotive, defence, energy, environment, financial, health care, life sciences, maritime, mining and extraction, public administration, retail, wholesale or distribution, security, smart city, space, transport mobility</t>
  </si>
  <si>
    <t>ecosystem building, field trial, finance, innovation management, knowledge transfer, prototyping, public sector innovation, regional development, sme support, technology transfer</t>
  </si>
  <si>
    <t>artificial intelligence decision support, big data, cloud services, high performance computing, simulation engineering and modelling</t>
  </si>
  <si>
    <t>Developing cybersecurty in the digital transition of European outermost regions</t>
  </si>
  <si>
    <t>Very small and small and medium-sized enterprises (VSEs and SMEs) are essential to strengthen European digital transformation and cybersecurity, and this is even more true for the outermost region such as La Reunion which drives innovation as key to future development. RUN EDIH is led by REUNION THD, a regional agency which will host the future cybersecurity resource center of the region (2023), also in charge of implementing the region Smart Specialization Strategy (S3). 5 others partners will collaborate, each specialized one of the 4 pillars of EDIH encompassing: test before investing (CLUSIR), training and skills development (CCIR), support to find investments (NEXA) and networking and access to innovation ecosystems (TECHNOPOLE), all articulated around an integrative one-stop-shop (DIGITAL). 15 external partners will reinforce skills/expertise to support target beneficiaries among a total of 63.350 SMEs, 21.250 VSEs and 31 PO in La Reunion. Digitalization and cybersecurity innovation abilities are essential for SMEs to thrive international competitiveness in the future and to meet the EU twin goals of green transition and digital transformation. RUN EDIH aims to reinforcing the critical digital capacities of SMEs as well as public organization (PO) (31); In particular e-health (61 SMEs), sea/maritime (411 SMEs) and aerial sectors (110 SMEs) in terms of cybersecurity, while contributing to Digital Europe Program strategic objectives in implementing a tailor-made digital hub, not only replicable to other EU outermost regions but also contributing to already established EDIH all across EU. This tailor-made consortium will be able to strengthen competitiveness and cybersecurity level while benefiting 150 SMEs with test before investing, to offer trainings to 500 companies and trigger private investments in 90 companies within the next 3 years. RUN EDIH will significantly increase the cybersecurity digital maturity of 150 SMEs and 20 PO in La Reunion.</t>
  </si>
  <si>
    <t>Sébastien COHELEACH</t>
  </si>
  <si>
    <t>1 rue Emile Hugot, 97490 Sainte Clotilde, France</t>
  </si>
  <si>
    <t>aeronautics, health care, maritime, public administration</t>
  </si>
  <si>
    <t>public sector innovation, regional development, sme support</t>
  </si>
  <si>
    <t>Loire Valley Data Hub for Centre-Val de Loire region's digitalisation</t>
  </si>
  <si>
    <t>Organised in a consortium, the Loire Valley Data Hub is the one-stop shop in Centre-Val de Loire region to support digital transformation of public administrations &amp; companies. working in key sectors of the Regional Innovation Strategy for Intelligent Specialisation (RIS3) of Centre-Val de Loire.It will support them in exploitation and enhancement of data, through digital technologies (Artificial Intelligence, Cybersecurity and High-Performance Computing). Completely in line with the Regional Innovation Strategy for Intelligent Specialisation (RIS3) of Centre Val de Loire, the project addresses the exploitation and enhancement of data, on the key areas for the region, namely: cosmetics, health, environment, and agri-food. By bringing together regional actors around a common challenge, the EDIH is pooling skills and services to meet the growing needs of companies and public administrations for digital technologies and thus, generate economic, social, and environmental benefits. The aim is to help them implement key technologies in data management (using Artificial Intelligence, High-Performance Computing and Cybersecurity). The support provided will enable these organisations to meet the challenges related to data production, integration, exchange, and exploitation in their respective fields, with a perspective of sustainable development. Indeed, the multiple activities deployed on the territories generate the production of numerous digital data. Digital transformation is a major challenge for the competitiveness of regional SMEs, particularly for the above-mentioned key sectors. Indeed, these companies, as well as the public players, are required to manage various types of resources (environmental, plant or animal, or even human). As a result, the exploitation of the data inherent in the management of these resources makes it possible to respond to strong societal and market needs, which are the preservation of the environment, food and health and well-being.</t>
  </si>
  <si>
    <t>Melody Maudelonde</t>
  </si>
  <si>
    <t>6, rue du Carbone, 45100 Orléans, France</t>
  </si>
  <si>
    <t>aeronautics, agricultural biotechnology and food biotechnology, automotive, cultural and creative economy, defence, energy, environment, food and beverages, health care, life sciences, manufacturing and processing, public administration, retail, wholesale or distribution, smart city, travel and tourism</t>
  </si>
  <si>
    <t>ecosystem building, finance, innovation management, knowledge transfer, public sector innovation, regional development, smart specialisation strategies, sme support, sme business development</t>
  </si>
  <si>
    <t>data, artificial intelligence decision support, cybersecurity, digital twins, internet of things, additive manufacturing, blockchain and distributed ledger technology dlt, gamification, industrial biotechnology, logistics, micro and nanoelectronics, optoelectronics, quantum technologies computingcommunication</t>
  </si>
  <si>
    <t>Apulian-EDIH</t>
  </si>
  <si>
    <t>The Apulian EDIH, Ap-EDIH, is the result of the merging of three Italian EDIH proposals designated as eligible at the national level, all insisting on the Apulian territory, namely: (1) Ap-EDIH (Apulian European Digital Innovation Hub), (2) EDIHAS (European Digital Innovation Hub for Aerospace) and (3) MIHUB (Mediterranean Digital Innovation HUB). It aims to establish on the Apulian regional territory, a single EDIH structure with the needed critical mass to support the Apulian SMEs and PAs operating in sectors significantly impacting on competitiveness, recovery and resilience of the territory, such as: Manufacturing, Agro-food, Energy/Climate/Smart Mobility, Health-Care (devices and systems), Blue Economy and Smart City. Ap-EDIH will focus on vertical value chains such as: textile, furniture, precision agriculture and farming, packaging and food industry, contruction&amp;buildings, waste treatment, automotive, industrial automation, Aerospace, Biomedical devices, personalized medicine, Health-care system, and horizontal value chains such as: logistics and urban mobility digital infrastructures, digital services for citizens, digital services for weather forecasting and biodiversity. The Ap-EDIH network wants to offer to its customers integrated packages of AI, CS and HPC test before invest, skills and training, support to find investment and networking services tailored on actual Apulian SMEs and PAs needs. To enhance its effectiveness Ap-EDIH will specifically develop, with the co-financing of some of its key affiliated partners, solid Best Practices to ensure a uniform take in charge of customers all over the network. Joint activities and services with other EU Hub will be pursued by the Ap-EDIH network in order to contribute to reinforce European digital leadership. A collaboration with EDIH INNOVATE proposal from Austria has been already activated.</t>
  </si>
  <si>
    <t>Luisa Torsi</t>
  </si>
  <si>
    <t>Via Amendola 172/5 (legal headquarter), 70126 Bari BA, Italy</t>
  </si>
  <si>
    <t>aeronautics, agricultural biotechnology and food biotechnology, automotive, construction assembly, consumer products, education, electricity, energy, energy, fuels and petroleum engineering, environment, food and beverages, health care, life sciences, manufacturing and processing, maritime, metal working and industrial production, personal services, polymers and plastics, public administration, security, smart city, space, telecommunications, textiles, transport mobility, transport sector</t>
  </si>
  <si>
    <t>circular economy, field trial, innovation management, knowledge transfer, prototyping, public sector innovation, regional development, smart specialisation strategies, sme support, technological innovation, technology transfer</t>
  </si>
  <si>
    <t>additive manufacturing, artificial intelligence decision support, big data, blockchain and distributed ledger technology dlt, chemical engineering plants, products, cyberphysical systems, cybersecurity, digital twins, high performance computing, human computer interaction, industrial biotechnology, micro and nanoelectronics, optoelectronics, mobility, organic and large area electronics, photonics, quantum technologies computingcommunication, robotics, semiconductors and nanotechnology, sensors vision processing systems, simulation engineering and modelling</t>
  </si>
  <si>
    <t>National Center for Secure Digital Transformation</t>
  </si>
  <si>
    <t>(CyberSec) National Centre of Secure Digital Transformation is a specialised European Digital Innovation Hub (EDIH) in cybersecurity area. Its main objective is to offer small and medium enterprises (SMEs) as well as state and self-government institutions the whole range of services that allow their secure existence in fully digitalized environment, and (in case of SMEs) implementing their own solutions that are technically mature but also resistant to cyberattacks. The offered services will be available for practically all organization, for which the fact of increasing their technological skills would require to enter the area of public networks together with the Industry 4.0 area (industrial networks) and the inherent threats. Having taken into account the aforementioned statements, the Centre has planned the following basic group of services: - Advisory and consulting services that range a single IT infrastructure (belonging to the service user). The objective is assuring the possibly highest level of protection of the inspected IT infrastructure, such that the organisation operating in digital environment remained resistant against cyber threats - Services assuring that the software created by EDIH customers has high level of resistance to cyber attacks by giving support to embed Secure Development Life Cycle (SDLC) - Management and monitoring services and active prevention against unauthorized attempts of accessing the resources (SOC – Security Operations Centre) To carry out the afore mentioned services specialized knowledge in cybersecurity area is essential. The deficit of specialists in this area is notable and according to forecasts it will get deeper. Lower enterprises and public institutions as well as large distributed enterprises face difficulties in gaining and maintaining specialists with relevant skills. (CyberSec) EDIH is designed to directly fill this gap, sharing knowledge and expertise plus embedding them inside the customers' organizations.</t>
  </si>
  <si>
    <t>Norbert Meyer</t>
  </si>
  <si>
    <t>https://cyber-sec.net.pl/</t>
  </si>
  <si>
    <t>aeronautics, automotive, defence, education, energy, environment, financial, food and beverages, health care, life sciences, metal working and industrial production, personal services, public administration, real estate, retail, wholesale or distribution, security, smart city, space, telecommunications, transport mobility, transport sector, travel and tourism</t>
  </si>
  <si>
    <t>field trial, innovation management, knowledge transfer, sme support, public sector innovation, technological innovation, vocational training</t>
  </si>
  <si>
    <t>Digital Hub for Automotive and Aerospace</t>
  </si>
  <si>
    <t>DAMAS (Digital innovation hub for AutoMotive and AeroSpace) was designated as a candidate to become an EDIH by the Italian Ministry of Economic Development (MISE). DAMAS is focused on two digital key technologies indicated by the Digital Europe Programme (DEP): HPC and AI. It is then specialised along the following digital enablers: Cloud &amp; Edge computing; Big Data Analytics, High Performance Data analytics; Computational Fluid Dynamics; Virtual Reality/Augmented reality; Fast Prototyping including 3D printing; Additive manufacturing; Digital Twin Simulation &amp; Modelling; Space Technologies - Geo Information and Sustainable Computing. Cybersecurity, a further DEP key technology, can be found among the capabilities of DAMAS partners but it was decided to activate structured collaborations with other EDIHs, to offer a full set of services in this domain, optimising DAMAS budget and focusing on core competencies. DAMAS is designed to act as one stop shop for SMEs, Mid-Caps and Large Enterprises that belong to the AutoMotive and Aerospace supply chains along with those PAs that use their products, supporting overall digital and green transformation. DAMAS vision relies on the increasing synergy between Automotive and Aerospace market segments. In that regard good examples coming from the US are Tesla and SpaceX, which have important economies of scale on digital technologies. DAMAS is based on a network of powerful HPC infrastructures that links together some of major Italian HPC systems both in terms of processing capabilities and in terms of storage, including the Leonardo DAVINCI-1 HPC system, the CINECA HPC systems and  CRS4, CINI and e-GEOS HPC facilities. DAMAS will establish a unique national-wide full-service one-stop-shop Automotive and Aerospace Innovation Hub for maximum coverage, leverage, impact and long-term sustainability in order to accelerate the uptake of AI and HPC technologies by Italian industries and to boost competitiveness and to foster new business models.</t>
  </si>
  <si>
    <t>Davide Marini</t>
  </si>
  <si>
    <t>Piazza Monte Grappa 4, 00195 Roma RM, Italy</t>
  </si>
  <si>
    <t>https://edih-damas.it</t>
  </si>
  <si>
    <t>aeronautics, automotive, space</t>
  </si>
  <si>
    <t>technology transfer, circular economy, ecosystem building, prototyping, smart specialisation strategies, sme support, innovation management, knowledge transfer, public sector innovation, sme business development, technological innovation, technology transfer, vocational training</t>
  </si>
  <si>
    <t>high performance computing, artificial intelligence decision support, big data, cloud services, digital twins, gamification, internet of things, virtual reality, additive manufacturing, locationbased applications, cyberphysical systems, sensors vision processing systems, simulation engineering and modelling, software architectures, virtual reality</t>
  </si>
  <si>
    <t>Pollisia digital innovation hub</t>
  </si>
  <si>
    <t>The Polissya Digital Innovation Hub (POLIDIH) is a pioneering initiative that aims to drive digital transformation and sustainable development in the Polissya region of Ukraine. Using advanced geographic information systems (GIS), satellite data analytics, and modern digital technologies, POLIDIH enables enterprises, government agencies, and communities to optimize decision-making, improve resource management, and foster innovation.
Focusing on supporting key areas such as small and medium-sized businesses, ecology, industry, agriculture, forestry, public administration, and local self-government, POLIDIH provides customized solutions that address pressing regional challenges. The hub’s comprehensive services range from GIS-based spatial analysis and environmental monitoring to capacity-building programs and funding support, ensuring a holistic approach to digital progress.
As a cornerstone of regional innovation, POLIDIH bridges the gap between local needs and global expertise, creating a robust ecosystem for collaboration, knowledge sharing, and sustainable growth.</t>
  </si>
  <si>
    <t>Tetiana Fedoniuk (international cooperation) Vita Buhaychuck (intra-ukrainian cooperation)</t>
  </si>
  <si>
    <t>Polissia National University, Staryy blvd., 7, Zhytomyr, Zhytomyrs'ka oblast, 10008, Ukraine</t>
  </si>
  <si>
    <t>http://polidih.com.ua/</t>
  </si>
  <si>
    <t>communityled local development, education, environment, manufacturing and processing, public administration, travel and tourism</t>
  </si>
  <si>
    <t>ecosystem building, field trial, knowledge transfer, public sector innovation, regional development, smart specialisation strategies, sme business development, sme support, vocational training</t>
  </si>
  <si>
    <t>additive manufacturing, artificial intelligence decision support, digital twins, big data, communication network, data, gamification, internet of things</t>
  </si>
  <si>
    <t>Digital Impact North - European Digital Innovation Hub</t>
  </si>
  <si>
    <t>Digital Impact North (DIN) is a Digital Innovation Hub in north Sweden, focused on Smart Sustainable Societies, characterized by the diversity and challenges specific to societies in sparsely populated areas. DIN builds on the region’s long collaboration culture spanning all kinds of sectors and industries, based on strong research in IT, AI and digitalization, competitive industry ecosystems, world-leading industries in manufacturing, green industrial megaprojects and industrial frontiers in disruptive technologies and green conversion. As a European Digital Innovation Hub, DIN will provide key services to SMEs and public sector organisation (PSO) within four specific target areas, helping them become more mature and successful in their digital and green transformations. These areas correspond to key challenges to their clients, and thus also to the digitalisation demands of these stakeholders, but also to specific challenges to our region. The areas targeted within DIN are areas where digitalization contributes to: · More resourceful utilizing of natural resources · Reduced climate footprints from manufacturing · Improved health and wellbeing · Viable societies and sustainable lifestyles DIN consists of a well-balanced consortium with high competence both in key technology areas and in delivering expected services towards each target area. The consortium has also built significant trust and confidence among the region’s stakeholders which guarantees high impact in achieving the objectives in Digital Europe Programme. DIN will work towards a cohesive region where digital and green transformation together with social inclusion plays an important role. These three pillars are embedded components in every activity and service performed by DIN. Further, we will develop models, methods, and tools, adopted to sparsely populated areas, with support from regional collaborative networks and ecosystems together with other EDIHs in Europe.</t>
  </si>
  <si>
    <t>Ulf Hedestig</t>
  </si>
  <si>
    <t>Universitetomradet, 901 87 Umea, Sweden</t>
  </si>
  <si>
    <t>https://digitalimpactnorth.se/</t>
  </si>
  <si>
    <t>communityled local development, environment, health care, paper and wood, education, manufacturing and processing, life sciences, mining and extraction, smart city, public administration, energy, fuels and petroleum engineering, automotive, energy, cultural and creative economy, metal working and industrial production, personal services, travel and tourism, electricity, transport sector, agricultural biotechnology and food biotechnology, space, food and beverages, retail, wholesale or distribution, security, transport mobility, construction assembly, consumer products, financial, maritime, nmp nonmetallic materials basic processes, polymers and plastics, telecommunications, textiles</t>
  </si>
  <si>
    <t>regional development, knowledge transfer, circular economy, ecosystem building, innovation management, public sector innovation, sme support, technology transfer, sme business development, technological innovation, vocational training, field trial, prototyping, smart specialisation strategies, finance</t>
  </si>
  <si>
    <t>artificial intelligence decision support, high performance computing, simulation engineering and modelling, big data, cyberphysical systems, cybersecurity, human computer interaction, locationbased applications, robotics, digital twins, logistics, additive manufacturing, cloud services, gamification, internet of things, software architectures, virtual reality, photonics, blockchain and distributed ledger technology dlt, chemical engineering plants, products, communication network, internet services applications, mobility, new technologies for audiovisual sector media, displays, laserbased manufacturing and materials processing, micro and nanoelectronics, optoelectronics, sensors vision processing systems</t>
  </si>
  <si>
    <t>LEAP EDIH: Empowering SMEs and Public Services through Digitalization and Cross-Sector Collaboration in Western Ukraine</t>
  </si>
  <si>
    <t>In today’s fast-changing technological landscape, digital transformation has become critical to ensuring the competitiveness and resilience of businesses and public services. The LEAP European Digital Innovation Hub (EDIH) is designed to empower small and medium-sized enterprises (SMEs) and the public sector in Western Ukraine to harness the potential of digital technologies. By leveraging expertise in cybersecurity, IoT, AI, and other cutting-edge digital solutions, the LEAP EDIH provides essential services such as testing before investing, workforce training and skills development, support for accessing investments, and networking opportunities with innovation ecosystems.
With a strong regional presence across Lviv, Ternopil, Khmelnytskyi, Volyn, and Rivne, the LEAP EDIH capitalizes on Lviv's position as a technological hub and the most prominent IT center in Western Ukraine. Backed by the Lviv IT Cluster, Ukraine’s most prominent technology association, and its partners, the LEAP EDIH builds on over a decade of experience supporting digital transformation, fostering public-private collaboration, and enhancing regional competitiveness.
The LEAP EDIH aims to strengthen regional industries, including the creative economy, bioeconomy, healthcare, tourism, and manufacturing, by facilitating the adoption of innovative digital tools. The LEAP EDIH seeks to enhance the region’s digital maturity and drive sustainable economic growth through cross-sector collaboration, digital upskilling, and international partnerships. Expected outcomes include increased digital adoption, enhanced workforce readiness, and stronger connections between Ukrainian SMEs, public entities, and European digital innovation networks.</t>
  </si>
  <si>
    <t>Svitlana Skrypka</t>
  </si>
  <si>
    <t>3 Ulasa Samchuka St, Lviv, Lviv oblast, 79011, Ukraine</t>
  </si>
  <si>
    <t>https://itcluster.lviv.ua/en/</t>
  </si>
  <si>
    <t>communityled local development, consumer products, cultural and creative economy, defence, education, financial, food and beverages, health care, legal aspects, personal services, public administration, retail, wholesale or distribution, security, smart city, telecommunications, travel and tourism</t>
  </si>
  <si>
    <t>ecosystem building, field trial, finance, knowledge transfer, prototyping, public sector innovation, regional development, smart specialisation strategies, sme business development, sme support, technological innovation, vocational training</t>
  </si>
  <si>
    <t>artificial intelligence decision support, bi tools, cloud services, communication network, cybersecurity, gamification, human computer interaction, internet of things, internet services applications, locationbased applications, new technologies for audiovisual sector media, quantum technologies computingcommunication, robotics, sensors vision processing systems, software architectures, virtual reality</t>
  </si>
  <si>
    <t>European Digital Innovation Hub Adriatic Croatia</t>
  </si>
  <si>
    <t>Experts who offer knowledge, experience and problem-solving skills
The EDIH Adria consortium includes two scientific research institutions (the University of Rijeka and the University of Pula), global technology leaders in their fields (Ericsson Nikola Tesla and Infobip, the first Croatian unicorn), business support institutions (Step Ri, the leading Croatian Institution for Business Support), and a technological innovation cluster (Rijeka Development Agency Porin - local development agency for entrepreneurship and entrepreneurial incubator system). The project is built on two essential technologies that are in great demand in Croatia: artificial intelligence (AI) and high-performance computing (HPC).
EDIH Adria will assist enterprises in accelerating the integration of modern technology, training their personnel, identifying finance options, and establishing links with key regional, national, and European actors. To further meet these objectives, the EDIH Adria project partners will work together to provide a variety of services to future users.
Support for all aspects of digital transformation
For most businesses, digital transformation requires a shift from a traditional mindset to a collaborative and experimental approach. While these new approaches to business reveal solutions that can improve the customer experience, drive employee innovation, and drive company growth at the grassroots level, they can be too much of a burden for many businesses without adequate professional and financial support.
EDIH Adria's planned operations provide support with different aspects of digital transformation, including digital strategy, processes, technology, digital culture, and human resources. They include an elaborate set of digitization and education services for users, as well as networking, complementing, and cooperating with other EDIHs in the European Union, which encourages the development of an ecosystem in which entrepreneurs, employers' associations, and support institutions, on the one hand, academic and educational sectors, on the other, and the public sector and policymakers, on the third, form the ecosystem with significant financial support.
Ensuring the development of an innovative and resilient business ecosystem in the Adriatic Croatia
In addition to EDIH's advisory services and determining the potential for the digital transformation of business and measuring progress, evaluating potential investments, and identifying changes that will create the greatest benefits for business and competitiveness, future users will be assisted in finding new business opportunities and markets, internationalizing business, and enhancing cooperation through networking and active participation in the innovation ecosystem. Most significantly, prospective customers of EDIH Adria consortium specialists' services will be able to test and deploy digital technologies in their businesses, as well as attend practical and applicable training suited to individual needs.</t>
  </si>
  <si>
    <t>EDIH Adria Management Team</t>
  </si>
  <si>
    <t>Trg brace mazuranica 10, 51000 Rijeka, Croatia</t>
  </si>
  <si>
    <t>https://www.edihadria.eu</t>
  </si>
  <si>
    <t>communityled local development, electricity, energy, health care, maritime, public administration, transport mobility, travel and tourism</t>
  </si>
  <si>
    <t>ecosystem building, innovation management, knowledge transfer, prototyping, public sector innovation, sme support, sme business development, technological innovation</t>
  </si>
  <si>
    <t>artificial intelligence decision support, big data, digital twins, high performance computing, mobility, virtual reality</t>
  </si>
  <si>
    <t>The creation of the Malta-EDIH as part of the network of European Digital Innovation Hubs</t>
  </si>
  <si>
    <t>The project proposed, led by the Malta Digital Innovation Authority, foresees the setting up of a single EDIH in Malta titled: DiHubMT. In line with the call for proposals for the EDIHs, the DiHubMT aims at providing the complete set of services of an EDIH on an open, transparent and non-discriminatory basis and targeted towards SMEs, small midcaps and public sector organisations. The following are the main services that will be offered at the DiHubMT:
- Digital Entrepreneurship Support Services to facilitate digital and green transformation with a focus on existing local competencies in the area, namely, Artificial Intelligence (AI), Cybersecurity and High-Performance Computing (HPC). This also foresees the setting up of a Pilot Entrepreneurship Programme (incubator, pre-accelerator and accelerator) and the provision of specialised services in relation to access to finance.
- Technical ‘Test before Invest’ Support Services via the setting up of a High-Tech Workspace which will feature high-end technologies, namely, AI, Cybersecurity / Information security, HPC, Augmented Reality, Virtual Reality, 3D Printing, Drones and Robotics.
- Digital Skills and Training Development to drive cross-sector upskilling and reskilling digital skills educational initiatives with a focus on advanced digital skills linked to short-term training courses, an apprenticeship programme and a train-the-trainer programme.
-I nnovation Ecosystems and Networking to promote the concept of Innovation Communities and facilitate networking and collaboration with the Digital Transformation Accelerator, the European network of EDIHs, and other relevant stakeholders and local actors, to enable the sharing of best practices and specialist knowledge.
- Digital Innovation Policy and Strategy to support the implementation of policies and bridge the gap between the private sector and the European Commission and Government with the aim of developing evidence-based policy making.</t>
  </si>
  <si>
    <t>Bernard Montebello</t>
  </si>
  <si>
    <t>Twenty20 business centre, triq l-intronjatur, Zone 3, Central Business District, Birkirkara, Mriehel CBD 3050, Malta</t>
  </si>
  <si>
    <t>communityled local development, cultural and creative economy, public administration, smart city, education</t>
  </si>
  <si>
    <t>ecosystem building, sme support, technological innovation, innovation management, finance</t>
  </si>
  <si>
    <t>high performance computing, artificial intelligence decision support, virtual reality, robotics, internet of things, cybersecurity</t>
  </si>
  <si>
    <t>OCEANOPOLIS</t>
  </si>
  <si>
    <t>Oceanopolis accelerates the digital transformation of SMEs and the public sector for sustainable businesses, coastal regions and oceans. Specifically, we help SMEs increase sales, reduce costs, gain reputation and reduce the climate footprint through capacity building and application of digital tools and solutions for the primary value chain activities and technological development.
Norway as an ocean tech nation is at the core of our hub, but we do more than “deeptech ocean”. Our scope reach from sustainable and smart cities and coastal communities to the blue economy with its shore-based supply industry. Concretely we cover the following sectors:
Energy &amp; offshore renewables
Fisheries &amp; aquaculture
Mechanical industry
Building &amp; construction industry
Transport &amp; logistics, including smart ports
Marine &amp; coastal tourism
Ocean &amp; coastal management
We offer the users of our hub access to four core services:
Oceanopolis Networking Arenas at regional and national level for inspiration and B2B networking;
Oceanopolis Academy offering practical courses and training for knowledge building and digital management capacity building;
Oceanopolis Digital Accelerator for single businesses and business networks in need of advancing business challenges through a structured journey with inspiration, discoveries, action planning &amp; capacity building, business development coaching and Test Before Invest;
Oceanopolis Capital supporting access to soft funding, seed capital &amp; venture capital.
The Digital Accelerator works with a wide range of digital technologies, tools and data spaces within its test infrastructures integral to the Test Before Invest, including:
AI, Data &amp; Robotics
Additive manufacturing with customized materials
IOT &amp; sensors
Artificial vision
VR/XR
Aerial drones
Underwater drones (ROVs &amp; AUVs)
Tools for modelling, simulations &amp; digital twins
A highly competent multidisciplinary team operates the hub with outreach to the national digital ecosystem. It stretches along the Norwegian coastline, collaborates with all major industry clusters and networks offering access to thousands of companies, business incubators and TTOs, private capital, academia, test infrastructures &amp; catapults, regional authorities, municipalities and other public sector actors.
We welcome hearing from you.</t>
  </si>
  <si>
    <t>Stig Marthinsen</t>
  </si>
  <si>
    <t>Jon Lilletunsvei 9 N, 4879 Grimstad, Norway</t>
  </si>
  <si>
    <t>https://dihoceanopolis.com</t>
  </si>
  <si>
    <t>communityled local development, construction assembly, energy, energy, fuels and petroleum engineering, environment, fishery, health care, manufacturing and processing, maritime, metal working and industrial production, mining and extraction, public administration, smart city, transport mobility, travel and tourism</t>
  </si>
  <si>
    <t>ecosystem building, innovation management, knowledge transfer, prototyping, public sector innovation, regional development, sme business development, sme support, technological innovation, technology transfer, field trial, sme support, finance</t>
  </si>
  <si>
    <t>additive manufacturing, artificial intelligence decision support, big data, cyberphysical systems, digital twins, human computer interaction, internet of things, robotics, sensors vision processing systems, photonics, simulation engineering and modelling, virtual reality, high performance computing</t>
  </si>
  <si>
    <t>Mittelstand-Digital Zentrum Lingen.Münster.Osnarbrück</t>
  </si>
  <si>
    <t>Our mission: to digitize the SME sector! Because we believe that the digital transformation brings new opportunities - and we want to make these available to everyone! The digital transformation is changing the world of work in many ways. New business models and competitive structures are emerging. Innovative technologies and the use of data are creating additional opportunities. Digitalization should simplify and optimize processes, relieve employees, enable flexibility and make your company fit for the future in the long term. The Mittelstand-Digital Zentrum Lingen.Münster.Osnabrück therefore accompanies small and medium-sized enterprises (SMEs) on their path to digital transformation and supports them in the design and implementation of sustainable business models.</t>
  </si>
  <si>
    <t>Michael Schnaider</t>
  </si>
  <si>
    <t>Kaiserstraße 10b, 49809 Lingen, Germany</t>
  </si>
  <si>
    <t>https://digitalzentrum-lmo.de/</t>
  </si>
  <si>
    <t>communityled local development, education</t>
  </si>
  <si>
    <t>innovation management, knowledge transfer, prototyping, regional development, sme support, technology transfer</t>
  </si>
  <si>
    <t>artificial intelligence decision support, cloud services, cybersecurity, gamification, human computer interaction, internet of things, virtual reality</t>
  </si>
  <si>
    <t>FinTech Copernicus Hub</t>
  </si>
  <si>
    <t>FinTech Copernicus Hub (FTCH) is an academic centre of competence in the application of FinTech - the use of digital technologies and information from transaction data in finance and decision-making processes.
The main objective of the FTCH is to increase the use of the latest digital technologies by SMEs, corporations and the public sector. It works to support the digital transformation of enterprises through services such as:
training and skills building,
enabling testing before investment,
support in finding sources of investment financing, facilitating access to innovation ecosystems within the EDIH cooperation network.
market research and comprehensive R&amp;D services.
Services are offered to two groups of entities:
A. FinTech Providers – Providers and potential providers of digital finance services, e.g., ICT companies looking to enter the FinTech sector and FinTech start-ups.
B. FinTech Users – Recipients of digital finance services, SMEs from other industries, in particular e-commerce and accounting firms, PSOs.
The activity of FTCH as EDIH extends the work of the Center for Digital Economy and Finance of the Nicolaus Copernicus University (CDEF UMK) in Toruń, a leading FinTech research, development and education centre in Central and Eastern Europe. Currently, the FTCH, for example, seeks to fully exploit the potential of open banking created in the EU through the PSD2 regulation.
The most important technological areas in which FTCH specialises are:
Payments and accounting (service and automation)
API for open data and open finance
Artificial intelligence and decision support
Big Data
Blockchain and distributed ledger technology (DLT)
Cybersecurity
Thanks to the staff potential and infrastructure of Nicolaus Copernicus University and the expert resources of the project partners, including chambers of commerce with a network of thousands of SMEs, reaching customers and achieving the goals of FTCH will be highly effective.</t>
  </si>
  <si>
    <t>Michał Polasik</t>
  </si>
  <si>
    <t>Ul. Jurija Gagarina 13A, 87-100 Torun, Poland</t>
  </si>
  <si>
    <t>https://ftch.umk.pl/</t>
  </si>
  <si>
    <t>communityled local development, consumer products, financial, food and beverages, manufacturing and processing, metal working and industrial production, public administration, retail, wholesale or distribution, security, smart city, transport mobility</t>
  </si>
  <si>
    <t>finance, innovation management, knowledge transfer, prototyping, public sector innovation, vocational training, technological innovation, sme support</t>
  </si>
  <si>
    <t>artificial intelligence decision support, big data, blockchain and distributed ledger technology dlt, cybersecurity, logistics, cloud services, internet of things, internet services applications, virtual reality</t>
  </si>
  <si>
    <t>Mittelstand-Digital Zentrum Berlin</t>
  </si>
  <si>
    <t>langfristig wirtschaftlicher, resilienter, agiler und wettbewerbsfähiger zu machen. Das Zentrum bietet hierfür eine Vielzahl von Unterstützungsmaßnahmen, darunter Workshops, Webinare, Veranstaltungen und Online-Content, um KMU bei ihrer digitalen Transformation zu begleiten. Erlebnisstationen und Erlebnisräume werden entwickelt, in denen Mittelständler die Möglichkeiten der Digitalisierung vor Ort erleben und begreifen können. So ermöglicht der Showroom am AI Campus in Berlin es Unternehmen, digitale Lösungen live zu erleben. Hier können sie beispielsweise erfahren, wie man mit einer VR-Brille ein virtuelles Büro einrichtet, welche Chancen Augmented Reality im Online-Handel bietet und welche aktuellen KI-Anwendungen für Unternehmen verfügbar sind. Als Ergänzung dazu wurde im Februar der KI-EscapeRoom in Werder (Havel) eröffnet, ein spielerisches Angebot, das die Möglichkeiten von Künstlicher Intelligenz im unternehmerischen Alltag vermittelt. Darüber hinaus unterstützen qualifizierte KI-Trainer:innen der Zentren Unternehmer:innen dabei, die Potenziale und Grenzen von Künstlicher Intelligenz zu erkennen und die richtigen Technologien für ihre spezifischen Anwendungsfälle auszuwählen. Das Mittelstand-Digital Zentrum Berlin gehört zum Mittelstand-Digital Netzwerk. Das Mittelstand-Digital Netzwerk bietet mit den Mittelstand-Digital Zentren und der Initiative IT-Sicherheit in der Wirtschaft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der Angebote von Mittelstand-Digital. Keywords: cross-industry</t>
  </si>
  <si>
    <t>Alexander Krug</t>
  </si>
  <si>
    <t>Ai campus berlin, max-urich-straße 3, 13355 Berlin, Germany</t>
  </si>
  <si>
    <t>http://www.digitalzentrum-berlin.de</t>
  </si>
  <si>
    <t>manufacturing and processing, energy, health care, smart city, public administration, education, environment, transport mobility, automotive, agricultural biotechnology and food biotechnology</t>
  </si>
  <si>
    <t>artificial intelligence decision support, big data, cybersecurity, gamification, internet services applications, virtual reality</t>
  </si>
  <si>
    <t>Mittelstand-Digital Zentrum Handwerk</t>
  </si>
  <si>
    <t>The “Mittelstand-Digital Zentrum Handwerk” has been supporting craft businesses and craft organizations since 2016 in taking advantage of the opportunities offered by digital technologies, processes and business models – free of charge, provider-neutral and throughout Germany. Keywords: Digitalization in crafts</t>
  </si>
  <si>
    <t>Stephan Blank</t>
  </si>
  <si>
    <t>Zentralverband des deutschen handwerks e.v. (zdh), mohrenstraße 20/21, 10117 Berlin, Germany</t>
  </si>
  <si>
    <t>https://www.handwerkdigital.de/</t>
  </si>
  <si>
    <t>technology transfer</t>
  </si>
  <si>
    <t>additive manufacturing, artificial intelligence decision support, communication network, cybersecurity, digital twins, internet of things, virtual reality, robotics</t>
  </si>
  <si>
    <t>DIGITAL INNOVATION HUB DEL LAZIO: CICERO HUB S.C.A R.L.</t>
  </si>
  <si>
    <t>Cicero is part of the Digital Innovation Hub network of Confindustria, the main association representing manufacturing and service companies in Italy. Cicero operates mainly in Lazio, the region where the capital Rome is located, supporting industries in their digitalization process and acting as a point of contact with European initiatives for SMEs digitalization and innovation. Cicero provides services for: - Digital Maturity Assessment – Deep assessment of SME/PSO digital readiness using a specific tool and interviews, providing a process-oriented score (from 1 to 5) of digital maturity measured with respect to some macro-processes: design &amp; engineering, production management, quality management, maintenance management, logistics management, supply chain management, HR management, marketing &amp; sales management. Each process is analysed trough five dimensions: Execution, Monitoring and Control of Processes, Technologies, Organizational Structure, and Skills. This phase allows an in-depth analysis of company characteristics, internal dynamics, operational methods, and processes adopted in the company and it is functional to the analysis of needs and objectives in order to outline the most appropriate technological solutions for the company's digital innovation. - Digital evaluation process - This activity is carried out with the creation of a high-level roadmap for the digital transformation of business processes together with the support to the company in the scouting, evaluation and matching of digital solutions compatible with the results of the two previous steps. The roadmap defines the strategic objectives of the SME’s or PSO's digital innovation path. Once the business objectives have been established, the technological objectives are defined, in support of which are identified those of skills development, project implementation, ecosystem development and access to finance. The roadmap also identifies any support needs in the field of governance and project management. The last phase of the digital assessment process is a preliminary design of the interventions based on an analysis of the technological equipment and business models of the organization, accompanied by an estimate of the times and costs of each adaptation intervention, as well as a hypothesis of possible forms of financing. Knowledge and technology transfer – Consulting activities to support SME/PSO to navigate in the Industry 4.0 paradigm and in the AI technologies. Cicero Dih offers a wide range of consulting services through a data analytics process, the effectiveness of which is greater the greater and more accurate the data on the organization is. Communicating the knowledge to industry and public administration is a key aspect of Cicero strategic objectives. Cicero DIH is involved in several and important initiatives at regional, national, or European level, aimed at digitizing the Country. Keywords: All sectors consultancy, process and technological consultancy</t>
  </si>
  <si>
    <t>Bertoni Marcello</t>
  </si>
  <si>
    <t>Via andrea noale, 206, 00155 Roma RM, Italy</t>
  </si>
  <si>
    <t>https://www.dihlazio.it/</t>
  </si>
  <si>
    <t>ecosystem building, finance, innovation management, public sector innovation, sme support, technological innovation, technology transfer</t>
  </si>
  <si>
    <t>additive manufacturing, artificial intelligence decision support, big data, blockchain and distributed ledger technology dlt, cloud services, communication network, cyberphysical systems, cybersecurity, digital twins, high performance computing, internet of things, internet services applications, logistics, virtual reality, robotics, simulation engineering and modelling</t>
  </si>
  <si>
    <t>Institut de l'Elevage</t>
  </si>
  <si>
    <t>The French Livestock Institute (acronymIDELE) is the French national technical reference and normative body in livestock farming systems. It is a non-profit, non-governmental organization featuring management bylivestock farmer’s federations and trade unions. Its activities encompass applied research, technical assistance, advisory services and technology transfer in cattle, sheep, goats and horses husbandry sciences. It employs 300 people and its yearly turnover is in the range of M€ 24-26. The main research topics are genetic evaluation, population management and selection, phenotyping and data collection, management of observatories of breeds, animal husbandry techniques and environment including fodder and pastoralism, quality of animal products, animal health and welfare, precision livestock farming, farm economics, value chain economics, farm workmanship and social approaches, methods and tools for references and advisory services. Based on its strong expertise on the livestock sector in France and EU, Idele plays a central role for the digital transformation of the whole ruminant value chain, by: Catching end-user needs. All Idele activities are livestock stakeholders driven. Idele is constantly in relation with all actors of the value chain and organises regular focus groups and surveys to catch and prioritise farmers and stakeholders needs. Thus, Idele is able to provide support to SMEs with their digital orientation. Prototyping digital solutions. To address the needs of end-users, Idele is also able to set prototypes or to detail prototype specifications for SMEs. Test and validation. Thanks to its experimental farms, Idele supports SMEs in the testing and validation of their digital solutions in real environment. Demonstration. Thanks to its national and EU networks, Idele participates to the demonstration phase of digital solutions through field implementation in different environments (different rearing systems, different breeds, different pedoclimatic conditions, …). This step is critical and essential to tailor digital solutions to the reality of the field and to facilitate SMEs digital transformation. Extension and communication. Idele act as a booster for the extension and communication of adapted digital solutions for the livestock sectors, thanks to the on-field demonstration, training, open days, shows, social media, website, video channel… Those, Idele plays a central role to accelerate the digital transformation of the ruminant sector. Since 2017, Idele has been mandated in France by all livestock farmers organisations (grouped into the Confédération Nationale de l’Elevage) to act as a hub and an activator to boost the digital transformation of the livestock sector (Sm@rt Elevage program funded by CNE). Since 2017, Idele has been mandated in France by all livestock farmers organisations (grouped into the Confédération Nationale de l’Elevage) to act as a hub and an activator to boost the digital transformation of the livestock sector (Sm@rt Elevage program funded by CNE). Keywords: Livestock</t>
  </si>
  <si>
    <t>Jean-Marc Gautier</t>
  </si>
  <si>
    <t>149 rue de bercy, 75000 Paris, France</t>
  </si>
  <si>
    <t>https://idele.fr/</t>
  </si>
  <si>
    <t>field trial, knowledge transfer, prototyping</t>
  </si>
  <si>
    <t>artificial intelligence decision support, big data, internet of things, photonics</t>
  </si>
  <si>
    <t>Boosting Digitalisation in SouthWest of Bulgaria</t>
  </si>
  <si>
    <t>InnovationAmp (Digital Innovation Hub for Data Science, HPC and AI) has been founded in Sofia, Bulgaria at the end of 2020 by 10 organizations, combining the perfect complementarity in terms of infrastructure, specialization, expertise and experience. The main objective of EDIH IA is to support on a large-scale digital transformation of the SMEs, mid-caps and public entities offering a comprehensive set of services aimed to meet the regional needs, developing and unleashing the innovative potential of SMEs, improving urban mobility, the environment and public services, in the SouthWest region of Bulgaria. The services offered are based upon strong technical and business expertise complemented with modern Artificial Intelligence, Big Data and High-Performance Computing infrastructure. The target customers are manufacturing companies working in the field of Automotive, Mechatronic and Pharma sectors prioritized in the Integrated Plan for Development of SouthWest region 2021-2027, and public entities from Sofia, Blagoevgrad, Pernik and Kyustendil municipalities. The InnovationAmp has ambition to offer 6 type of high quality services to at least 45 SMEs and public authorities by build a strong team of experts in digital and green transformation, offering access to modern infrastructure and expertise, supporting the most prominent projects with additional funding opportunities, and bridging the technology complementarities with other EDIH in a favor of regional digital and green transformation.</t>
  </si>
  <si>
    <t>Bogdana VATASHKA</t>
  </si>
  <si>
    <t>111, Tsarigradsko shose blvd., Sofia, 1784 Bulgaria, 1784 Sofia, Bulgaria</t>
  </si>
  <si>
    <t>https://innovationamp.com/</t>
  </si>
  <si>
    <t>construction assembly, energy, manufacturing and processing, smart city, telecommunications</t>
  </si>
  <si>
    <t>innovation management, prototyping, regional development, sme support, sme business development, technology transfer, technological innovation</t>
  </si>
  <si>
    <t>artificial intelligence decision support, internet of things, cybersecurity, big data, digital twins, robotics, high performance computing, virtual reality, sensors vision processing systems, simulation engineering and modelling</t>
  </si>
  <si>
    <t>Establishing a national EDIH in Iceland for digital transformation</t>
  </si>
  <si>
    <t>EDIH-IS is the Icelandic national European Digital Innovation Hub to be established in collaboration with the national technology transfer office, major universities, Icelandic Centre for Research, industry representatives and the Icelandic government. EDIH-IS brings together top national expertise and capacity in artificial intelligence, high performance computing and cybersecurity to advance digitalisation in the public and private sector. EDIH-IS will also be able to mediate connections and influences from the top European actors in digitalisation to Iceland. One-stop-shop for export/import of digital expert knowhow and solutions towards Europe. EDIH-IS will be instrumental in connecting digital challenges and SMEs with the top digital expertise and facilitate access to infrastructure and computing capacity. It will be active in orchestrating skill-building and awareness through its partners and affiliated entities and will be active in disseminating useful information to SMEs, the public and the government on advances in digitalisation and policies. Icelands remote, arctic location and western most point of Europe has strategic value when it comes to digital and infrastructure security, availability of communication frequencies, access to green energy for data processing, monitoring and data collection on the effects of climate change which is accelerated in the arctic environment. This opens up unique opportunities for synergies within the European fields of emphasis, digitalisation and green sustainable development. EDIH-IS will be the contact point for projects and innovations coming through the European network of EDIHs ready to be tested in a small society with excellent IT infrastructure. Iceland as a testbed is an attractive environment for digital solutions for test before invest and/or hack before invest, providing speedy feedback on feasibility, success or possible issues with implementation and scale-up in larger societies within Europe.</t>
  </si>
  <si>
    <t>Iceland</t>
  </si>
  <si>
    <t>Einar Mantyla</t>
  </si>
  <si>
    <t>Bjargargata 1, 102 Reykjavík, Iceland</t>
  </si>
  <si>
    <t>http://edih.is</t>
  </si>
  <si>
    <t>energy, education</t>
  </si>
  <si>
    <t>sme support, technological innovation, knowledge transfer, ecosystem building, technology transfer, innovation management, prototyping, sme business development, public sector innovation, finance</t>
  </si>
  <si>
    <t>artificial intelligence decision support, cybersecurity, high performance computing, big data</t>
  </si>
  <si>
    <t>Digital Innovation Ostbayern</t>
  </si>
  <si>
    <t>Rural regions can still benefit most from digitization these days, because the issues of distance and the difficult accessibility of customers and suppliers have driven existing analogue offers into the city. With the help of a comprehensive and functioning broadband network, digital services of general interest and innovative economic levels can be developed, which can create strong added value through the application of new technologies and alternative approaches. This requires the four pillars of the European Digital Innovation Hubs, especially in Eastern Bavaria: "Test before Invest" with the help of a close interlinking of science and business as well as modern open innovation and test labs, "Skills and Training" for the development of user-oriented training on topics of digital technologies and business models, "Support to find Investments" for promoting and finding suitable tenders and research projects so that innovative concepts can be financed , as well as "Innovation Ecosystem and Networking" to build a cross-stakeholder network for digitization and to transform Eastern Bavaria into a leading digital region. The intervention logic of the project takes up the existing competencies of the partners and applies them to the needs of the companies and institutions in the region. The main topics on AI and data-driven technologies, digital business models as well as cyber security, functional safety and HPC addresses the thematic needs and applies them to the dominant sectors of the region (industry with a focus on the construction sector and manufacturing, trade, startups and municipalities). The choice of focus was especially tailored to the needs of regional Small and medium Enterprises (SME) but also Public Sector Entities (PSE).</t>
  </si>
  <si>
    <t>Wolfgang Dorner</t>
  </si>
  <si>
    <t>Dieter Goerlitz Platz 1, 94469 Deggendorf, Germany</t>
  </si>
  <si>
    <t>https://edih-dino.de</t>
  </si>
  <si>
    <t>automotive, communityled local development, construction assembly, manufacturing and processing, metal working and industrial production, nmp nonmetallic materials basic processes, travel and tourism, smart city, public administration</t>
  </si>
  <si>
    <t>cyberphysical systems, artificial intelligence decision support, high performance computing, virtual reality, internet of things, communication network</t>
  </si>
  <si>
    <t>Portugal Blue Digital Hub</t>
  </si>
  <si>
    <t>Portugal Blue Digital Hub (PBDH) is a consortium of 17 entities, led by Forum Oceano (FO), Portugal’s Blue Economy Cluster. PBDH aims to promote circularity, decarbonisation and the digital transition, by stimulating entrepreneurship, testing and demonstration, attracting foreign investment, training in digital skills and developing services in AI, Blockchain and Big Data. To achieve those ambitious goals, we will provide:
advanced training in the digital and sustainability domains.
access to data from the Portuguese Ocean and Coasts to support developing, testing and demonstrating new solutions.
innovation and acceleration programs, with specific challenge owners representative of the Portuguese Blue Economy sectors.
access to a blue tech Test Network, including a Dual Use test location, to test/demonstrate your solution in the Atlantic Ocean environment and get a performance seal.
access to events with an international and diverse Investors Club willing to invest in Blue Tech Solutions.
Recognized with a Seal of Excellence by the European Commission, the Portugal Blue Digital Hub stands out for its quality and impact at national and European levels.
Get involved. 
Follow us on LinkedIn 
Subscribe our newsletter</t>
  </si>
  <si>
    <t>Carlos Pinho</t>
  </si>
  <si>
    <t>Uptec polo do mar avenida da liberdade s/n, 4450-718 Matosinhos, Portugal</t>
  </si>
  <si>
    <t>https://forumoceano.pt/pt/digital-hub/</t>
  </si>
  <si>
    <t>maritime, fishery, travel and tourism, energy, defence</t>
  </si>
  <si>
    <t>technological innovation, innovation management, prototyping, field trial, public sector innovation, sme business development</t>
  </si>
  <si>
    <t>AI and Robotics Estonia (EDIH)</t>
  </si>
  <si>
    <t>The artificial intelligence (AI) and robotics EDIH AIRE facilitates innovation in Estonian manufacturing by bringing together the core competencies of universities, science parks and research centres in the fields of AI and robotics, and the SMEs in Estonia and Europe, working in close collaboration with other AI-related centres and initiatives in Estonia and Europe. The hub is run by a highly capable and experienced consortium led by the Tallinn University of Technology, and its partners are the University of Tartu, the Estonian University of Life Sciences, Tehnopol Science and Business Park, Tartu Science Park, and competence centre IMECC, supported by other key stakeholders as associate partners. AIRE’s objectives are (1) to increase the digital maturity of the manufacturing SMEs, (2) to increase investments into industrial digitalisation, (3) to create sustainable EDIH ecosystem in Estonia and involve relevant stakeholders from the EU, (4) to improve the target groups' skills and competences on AI and robotics, and (5) to increase market maturity and market creation potential of Estonian innovations. To achieve this, the focus is on the ‘test before invest’ activities (WP2), incl. digital maturity assessment and related individual consulting and roadmapping for clients, and implementation of proof-of-concept AI and robotics demo projects and experiments with manufacturing companies. This is supported by AI and robotics related trainings (WP3), access to finance services (WP4) and ecosystem development (WP5). AIRE will contribute to long-term policy objectives of Estonia and the EU. Based on the strategic view of the Estonian state, in 2022-2025 AIRE focuses on the manufacturing industry as the primary target group and up to 10% of the budget is allocated to cross-sectoral AI pilots in health technology and tourism to widen the impact and illustrate transferability. From 2025+, AIRE will more strongly address a wider range of sectors in the future from 2025+.</t>
  </si>
  <si>
    <t>Estonia</t>
  </si>
  <si>
    <t>Kirke Maar</t>
  </si>
  <si>
    <t>Ehitajate tee 5, 19086 Tallinn Estonia, Estonia</t>
  </si>
  <si>
    <t>https://aire-edih.eu/</t>
  </si>
  <si>
    <t>artificial intelligence decision support, robotics, big data, bi tools, data, digital twins, cybersecurity, internet of things, laserbased manufacturing and materials processing, logistics, sensors vision processing systems, simulation engineering and modelling, mobility, virtual reality, cloud services, chemical engineering plants, products, cyberphysical systems, high performance computing, software architectures, human computer interaction, industrial biotechnology, communication network, organic and large area electronics, displays</t>
  </si>
  <si>
    <t>Formatted Services</t>
  </si>
  <si>
    <t>Services Count</t>
  </si>
  <si>
    <t>Service  Coverage(%)</t>
  </si>
  <si>
    <t>Contribution to total</t>
  </si>
  <si>
    <t>Cumulative total</t>
  </si>
  <si>
    <t>technological innovation</t>
  </si>
  <si>
    <t>knowledge transfer</t>
  </si>
  <si>
    <t>ecosystem building</t>
  </si>
  <si>
    <t>innovation management</t>
  </si>
  <si>
    <t>prototyping</t>
  </si>
  <si>
    <t>sme business development</t>
  </si>
  <si>
    <t>finance</t>
  </si>
  <si>
    <t>regional development</t>
  </si>
  <si>
    <t>vocational training</t>
  </si>
  <si>
    <t>smart specialisation strategies</t>
  </si>
  <si>
    <t>field trial</t>
  </si>
  <si>
    <t>Formatted Sectors</t>
  </si>
  <si>
    <t>Sector Count</t>
  </si>
  <si>
    <t>Sector Coverage(%)</t>
  </si>
  <si>
    <t>Contribution to total(%)</t>
  </si>
  <si>
    <t>Commulative Percentage</t>
  </si>
  <si>
    <t>Total EDIHs</t>
  </si>
  <si>
    <t>health care</t>
  </si>
  <si>
    <t>environment</t>
  </si>
  <si>
    <t>transport mobility</t>
  </si>
  <si>
    <t>automotive</t>
  </si>
  <si>
    <t>metal working and industrial production</t>
  </si>
  <si>
    <t>travel and tourism</t>
  </si>
  <si>
    <t>telecommunications</t>
  </si>
  <si>
    <t>food and beverages</t>
  </si>
  <si>
    <t>life sciences</t>
  </si>
  <si>
    <t>security</t>
  </si>
  <si>
    <t>cultural and creative economy</t>
  </si>
  <si>
    <t>financial</t>
  </si>
  <si>
    <t>retail</t>
  </si>
  <si>
    <t>wholesale or distribution</t>
  </si>
  <si>
    <t>communityled local development</t>
  </si>
  <si>
    <t>textiles</t>
  </si>
  <si>
    <t>transport sector</t>
  </si>
  <si>
    <t>consumer products</t>
  </si>
  <si>
    <t>personal services</t>
  </si>
  <si>
    <t>maritime</t>
  </si>
  <si>
    <t>defence</t>
  </si>
  <si>
    <t>polymers and plastics</t>
  </si>
  <si>
    <t>space</t>
  </si>
  <si>
    <t>electricity</t>
  </si>
  <si>
    <t>nmp nonmetallic materials basic processes</t>
  </si>
  <si>
    <t>paper and wood</t>
  </si>
  <si>
    <t>fuels and petroleum engineering</t>
  </si>
  <si>
    <t>real estate</t>
  </si>
  <si>
    <t>legal aspects</t>
  </si>
  <si>
    <t>regulation</t>
  </si>
  <si>
    <t>fishery</t>
  </si>
  <si>
    <t>mining and extraction</t>
  </si>
  <si>
    <t>leather</t>
  </si>
  <si>
    <t>nuclear</t>
  </si>
  <si>
    <t>tobacco</t>
  </si>
  <si>
    <t>Formatted Technologies</t>
  </si>
  <si>
    <t>Technologies Count</t>
  </si>
  <si>
    <t>Technologies Coverage(%)</t>
  </si>
  <si>
    <t>big data</t>
  </si>
  <si>
    <t>digital twins</t>
  </si>
  <si>
    <t>robotics</t>
  </si>
  <si>
    <t>high performance computing</t>
  </si>
  <si>
    <t>virtual reality</t>
  </si>
  <si>
    <t>sensors vision processing systems</t>
  </si>
  <si>
    <t>simulation engineering and modelling</t>
  </si>
  <si>
    <t>cloud services</t>
  </si>
  <si>
    <t>cyberphysical systems</t>
  </si>
  <si>
    <t>internet services applications</t>
  </si>
  <si>
    <t>blockchain and distributed ledger technology dlt</t>
  </si>
  <si>
    <t>human computer interaction</t>
  </si>
  <si>
    <t>mobility</t>
  </si>
  <si>
    <t>software architectures</t>
  </si>
  <si>
    <t>logistics</t>
  </si>
  <si>
    <t>locationbased applications</t>
  </si>
  <si>
    <t>gamification</t>
  </si>
  <si>
    <t>laserbased manufacturing and materials processing</t>
  </si>
  <si>
    <t>quantum technologies computingcommunication</t>
  </si>
  <si>
    <t>optoelectronics</t>
  </si>
  <si>
    <t>micro and nanoelectronics</t>
  </si>
  <si>
    <t>semiconductors and nanotechnology</t>
  </si>
  <si>
    <t>new technologies for audiovisual sector media</t>
  </si>
  <si>
    <t>industrial biotechnology</t>
  </si>
  <si>
    <t>bi tools</t>
  </si>
  <si>
    <t>photonics</t>
  </si>
  <si>
    <t>products</t>
  </si>
  <si>
    <t>chemical engineering plants</t>
  </si>
  <si>
    <t>displays</t>
  </si>
  <si>
    <t>organic and large area electronics</t>
  </si>
  <si>
    <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</si>
</sst>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scheme val="minor"/>
    </font>
    <font>
      <b/>
      <sz val="11"/>
      <color theme="1"/>
      <name val="Calibri"/>
      <scheme val="minor"/>
    </font>
    <font>
      <sz val="11"/>
      <color theme="1"/>
      <name val="Calibri"/>
      <scheme val="minor"/>
    </font>
    <font>
      <sz val="12"/>
      <color theme="1"/>
      <name val="Calibri"/>
      <scheme val="minor"/>
    </font>
    <font>
      <b/>
      <sz val="11"/>
      <color theme="0"/>
      <name val="Calibri"/>
      <scheme val="minor"/>
    </font>
    <font>
      <sz val="11"/>
      <color theme="0"/>
      <name val="Calibri"/>
      <scheme val="minor"/>
    </font>
  </fonts>
  <fills count="6">
    <fill>
      <patternFill patternType="none"/>
    </fill>
    <fill>
      <patternFill patternType="gray125"/>
    </fill>
    <fill>
      <patternFill patternType="solid">
        <fgColor rgb="FFCCD9D4"/>
        <bgColor rgb="FFCCD9D4"/>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284E3F"/>
      </left>
      <right style="thin">
        <color rgb="FFCCD9D4"/>
      </right>
      <top/>
      <bottom style="thin">
        <color rgb="FF284E3F"/>
      </bottom>
      <diagonal/>
    </border>
    <border>
      <left style="thin">
        <color rgb="FFCCD9D4"/>
      </left>
      <right style="thin">
        <color rgb="FFCCD9D4"/>
      </right>
      <top/>
      <bottom style="thin">
        <color rgb="FF284E3F"/>
      </bottom>
      <diagonal/>
    </border>
    <border>
      <left style="thin">
        <color rgb="FFCCD9D4"/>
      </left>
      <right style="thin">
        <color rgb="FF284E3F"/>
      </right>
      <top/>
      <bottom style="thin">
        <color rgb="FF284E3F"/>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xf numFmtId="0" fontId="2" fillId="0" borderId="5" xfId="0" applyFont="1" applyBorder="1" applyAlignment="1">
      <alignment vertical="center"/>
    </xf>
    <xf numFmtId="0" fontId="2" fillId="0" borderId="6"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10" fontId="2" fillId="0" borderId="13" xfId="0" applyNumberFormat="1" applyFont="1" applyBorder="1" applyAlignment="1">
      <alignment vertical="center"/>
    </xf>
    <xf numFmtId="0" fontId="1" fillId="0" borderId="4" xfId="0" applyFont="1" applyBorder="1" applyAlignment="1">
      <alignment horizontal="center" vertical="top"/>
    </xf>
    <xf numFmtId="10" fontId="2" fillId="0" borderId="6" xfId="0" applyNumberFormat="1" applyFont="1" applyBorder="1" applyAlignment="1">
      <alignment vertical="center"/>
    </xf>
    <xf numFmtId="10" fontId="2" fillId="0" borderId="7" xfId="0" applyNumberFormat="1" applyFont="1" applyBorder="1" applyAlignment="1">
      <alignment vertical="center"/>
    </xf>
    <xf numFmtId="10" fontId="2" fillId="0" borderId="9" xfId="0" applyNumberFormat="1" applyFont="1" applyBorder="1" applyAlignment="1">
      <alignment vertical="center"/>
    </xf>
    <xf numFmtId="10" fontId="2" fillId="0" borderId="10" xfId="0" applyNumberFormat="1" applyFont="1" applyBorder="1" applyAlignment="1">
      <alignment vertical="center"/>
    </xf>
    <xf numFmtId="0" fontId="1" fillId="0" borderId="3" xfId="0" applyFont="1" applyBorder="1" applyAlignment="1">
      <alignment horizontal="center" vertical="top" wrapText="1"/>
    </xf>
    <xf numFmtId="10" fontId="0" fillId="0" borderId="0" xfId="0" applyNumberFormat="1"/>
    <xf numFmtId="0" fontId="0" fillId="2" borderId="14" xfId="0" applyFill="1" applyBorder="1" applyAlignment="1">
      <alignment vertical="center"/>
    </xf>
    <xf numFmtId="0" fontId="0" fillId="2" borderId="15" xfId="0" applyFill="1" applyBorder="1" applyAlignment="1">
      <alignment vertical="center"/>
    </xf>
    <xf numFmtId="0" fontId="0" fillId="2" borderId="16" xfId="0" applyFill="1" applyBorder="1" applyAlignment="1">
      <alignment vertical="center"/>
    </xf>
    <xf numFmtId="10" fontId="0" fillId="4" borderId="0" xfId="0" applyNumberFormat="1" applyFill="1"/>
    <xf numFmtId="10" fontId="0" fillId="5" borderId="0" xfId="0" applyNumberFormat="1" applyFill="1"/>
    <xf numFmtId="0" fontId="3" fillId="0" borderId="0" xfId="0" applyFont="1" applyAlignment="1">
      <alignment wrapText="1"/>
    </xf>
    <xf numFmtId="0" fontId="1" fillId="3" borderId="4" xfId="0" applyFont="1" applyFill="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wrapText="1"/>
    </xf>
    <xf numFmtId="0" fontId="4" fillId="0" borderId="4" xfId="0" applyFont="1" applyBorder="1" applyAlignment="1">
      <alignment horizontal="center" vertical="top"/>
    </xf>
    <xf numFmtId="10" fontId="5" fillId="0" borderId="0" xfId="0" applyNumberFormat="1" applyFont="1" applyAlignment="1">
      <alignment wrapText="1"/>
    </xf>
    <xf numFmtId="10" fontId="5" fillId="3" borderId="0" xfId="0" applyNumberFormat="1" applyFont="1" applyFill="1" applyAlignment="1">
      <alignment wrapText="1"/>
    </xf>
  </cellXfs>
  <cellStyles count="1">
    <cellStyle name="Normal" xfId="0" builtinId="0"/>
  </cellStyles>
  <dxfs count="19">
    <dxf>
      <numFmt numFmtId="14" formatCode="0.00%"/>
    </dxf>
    <dxf>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284E3F"/>
        </right>
        <top/>
        <bottom style="thin">
          <color rgb="FF284E3F"/>
        </bottom>
      </border>
    </dxf>
    <dxf>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CCD9D4"/>
        </right>
        <top/>
        <bottom style="thin">
          <color rgb="FF284E3F"/>
        </bottom>
      </border>
    </dxf>
    <dxf>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CCD9D4"/>
        </right>
        <top/>
        <bottom style="thin">
          <color rgb="FF284E3F"/>
        </bottom>
      </border>
    </dxf>
    <dxf>
      <fill>
        <patternFill patternType="solid">
          <fgColor rgb="FFCCD9D4"/>
          <bgColor rgb="FFCCD9D4"/>
        </patternFill>
      </fill>
      <alignment horizontal="general" vertical="center" textRotation="0" wrapText="0" indent="0" justifyLastLine="0" shrinkToFit="0" readingOrder="0"/>
      <border diagonalUp="0" diagonalDown="0" outline="0">
        <left style="thin">
          <color rgb="FF284E3F"/>
        </left>
        <right style="thin">
          <color rgb="FFCCD9D4"/>
        </right>
        <top/>
        <bottom style="thin">
          <color rgb="FF284E3F"/>
        </bottom>
      </border>
    </dxf>
    <dxf>
      <numFmt numFmtId="14" formatCode="0.00%"/>
    </dxf>
    <dxf>
      <font>
        <color theme="0"/>
      </font>
    </dxf>
    <dxf>
      <numFmt numFmtId="14" formatCode="0.0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sectors_Analysis-style" pivot="0" count="3" xr9:uid="{00000000-0011-0000-FFFF-FFFF00000000}">
      <tableStyleElement type="headerRow" dxfId="18"/>
      <tableStyleElement type="firstRowStripe" dxfId="17"/>
      <tableStyleElement type="secondRowStripe" dxfId="16"/>
    </tableStyle>
    <tableStyle name="services_Analysis-style" pivot="0" count="3" xr9:uid="{00000000-0011-0000-FFFF-FFFF01000000}">
      <tableStyleElement type="headerRow" dxfId="15"/>
      <tableStyleElement type="firstRowStripe" dxfId="14"/>
      <tableStyleElement type="secondRowStripe" dxfId="13"/>
    </tableStyle>
    <tableStyle name="technologies_Analysis-style" pivot="0" count="4" xr9:uid="{00000000-0011-0000-FFFF-FFFF02000000}">
      <tableStyleElement type="headerRow" dxfId="12"/>
      <tableStyleElement type="total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EDIHs Service Keyword Analysis</a:t>
            </a:r>
          </a:p>
        </c:rich>
      </c:tx>
      <c:overlay val="0"/>
    </c:title>
    <c:autoTitleDeleted val="0"/>
    <c:plotArea>
      <c:layout/>
      <c:barChart>
        <c:barDir val="col"/>
        <c:grouping val="clustered"/>
        <c:varyColors val="1"/>
        <c:ser>
          <c:idx val="0"/>
          <c:order val="0"/>
          <c:tx>
            <c:strRef>
              <c:f>services_Analysis!$B$1</c:f>
              <c:strCache>
                <c:ptCount val="1"/>
                <c:pt idx="0">
                  <c:v>Services Count</c:v>
                </c:pt>
              </c:strCache>
            </c:strRef>
          </c:tx>
          <c:spPr>
            <a:solidFill>
              <a:srgbClr val="4F81BD"/>
            </a:solidFill>
            <a:ln cmpd="sng">
              <a:solidFill>
                <a:srgbClr val="000000"/>
              </a:solidFill>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services_Analysis!$A$2:$A$17</c:f>
              <c:strCache>
                <c:ptCount val="15"/>
                <c:pt idx="0">
                  <c:v>sme support</c:v>
                </c:pt>
                <c:pt idx="1">
                  <c:v>technological innovation</c:v>
                </c:pt>
                <c:pt idx="2">
                  <c:v>knowledge transfer</c:v>
                </c:pt>
                <c:pt idx="3">
                  <c:v>ecosystem building</c:v>
                </c:pt>
                <c:pt idx="4">
                  <c:v>technology transfer</c:v>
                </c:pt>
                <c:pt idx="5">
                  <c:v>innovation management</c:v>
                </c:pt>
                <c:pt idx="6">
                  <c:v>prototyping</c:v>
                </c:pt>
                <c:pt idx="7">
                  <c:v>sme business development</c:v>
                </c:pt>
                <c:pt idx="8">
                  <c:v>public sector innovation</c:v>
                </c:pt>
                <c:pt idx="9">
                  <c:v>finance</c:v>
                </c:pt>
                <c:pt idx="10">
                  <c:v>regional development</c:v>
                </c:pt>
                <c:pt idx="11">
                  <c:v>circular economy</c:v>
                </c:pt>
                <c:pt idx="12">
                  <c:v>vocational training</c:v>
                </c:pt>
                <c:pt idx="13">
                  <c:v>smart specialisation strategies</c:v>
                </c:pt>
                <c:pt idx="14">
                  <c:v>field trial</c:v>
                </c:pt>
              </c:strCache>
            </c:strRef>
          </c:cat>
          <c:val>
            <c:numRef>
              <c:f>services_Analysis!$B$2:$B$17</c:f>
              <c:numCache>
                <c:formatCode>General</c:formatCode>
                <c:ptCount val="15"/>
                <c:pt idx="0">
                  <c:v>249</c:v>
                </c:pt>
                <c:pt idx="1">
                  <c:v>218</c:v>
                </c:pt>
                <c:pt idx="2">
                  <c:v>211</c:v>
                </c:pt>
                <c:pt idx="3">
                  <c:v>206</c:v>
                </c:pt>
                <c:pt idx="4">
                  <c:v>202</c:v>
                </c:pt>
                <c:pt idx="5">
                  <c:v>199</c:v>
                </c:pt>
                <c:pt idx="6">
                  <c:v>191</c:v>
                </c:pt>
                <c:pt idx="7">
                  <c:v>161</c:v>
                </c:pt>
                <c:pt idx="8">
                  <c:v>145</c:v>
                </c:pt>
                <c:pt idx="9">
                  <c:v>134</c:v>
                </c:pt>
                <c:pt idx="10">
                  <c:v>129</c:v>
                </c:pt>
                <c:pt idx="11">
                  <c:v>119</c:v>
                </c:pt>
                <c:pt idx="12">
                  <c:v>118</c:v>
                </c:pt>
                <c:pt idx="13">
                  <c:v>105</c:v>
                </c:pt>
                <c:pt idx="14">
                  <c:v>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2F4-4F6B-B502-F21F8C386965}"/>
            </c:ext>
          </c:extLst>
        </c:ser>
        <c:dLbls>
          <c:showLegendKey val="0"/>
          <c:showVal val="0"/>
          <c:showCatName val="0"/>
          <c:showSerName val="0"/>
          <c:showPercent val="0"/>
          <c:showBubbleSize val="0"/>
        </c:dLbls>
        <c:gapWidth val="150"/>
        <c:axId val="13968598"/>
        <c:axId val="490940503"/>
      </c:barChart>
      <c:lineChart>
        <c:grouping val="standard"/>
        <c:varyColors val="1"/>
        <c:ser>
          <c:idx val="1"/>
          <c:order val="1"/>
          <c:tx>
            <c:strRef>
              <c:f>services_Analysis!$C$1</c:f>
              <c:strCache>
                <c:ptCount val="1"/>
                <c:pt idx="0">
                  <c:v>Service  Coverage(%)</c:v>
                </c:pt>
              </c:strCache>
            </c:strRef>
          </c:tx>
          <c:spPr>
            <a:ln cmpd="sng">
              <a:solidFill>
                <a:srgbClr val="C0504D"/>
              </a:solidFill>
            </a:ln>
          </c:spPr>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services_Analysis!$A$2:$A$17</c:f>
              <c:strCache>
                <c:ptCount val="15"/>
                <c:pt idx="0">
                  <c:v>sme support</c:v>
                </c:pt>
                <c:pt idx="1">
                  <c:v>technological innovation</c:v>
                </c:pt>
                <c:pt idx="2">
                  <c:v>knowledge transfer</c:v>
                </c:pt>
                <c:pt idx="3">
                  <c:v>ecosystem building</c:v>
                </c:pt>
                <c:pt idx="4">
                  <c:v>technology transfer</c:v>
                </c:pt>
                <c:pt idx="5">
                  <c:v>innovation management</c:v>
                </c:pt>
                <c:pt idx="6">
                  <c:v>prototyping</c:v>
                </c:pt>
                <c:pt idx="7">
                  <c:v>sme business development</c:v>
                </c:pt>
                <c:pt idx="8">
                  <c:v>public sector innovation</c:v>
                </c:pt>
                <c:pt idx="9">
                  <c:v>finance</c:v>
                </c:pt>
                <c:pt idx="10">
                  <c:v>regional development</c:v>
                </c:pt>
                <c:pt idx="11">
                  <c:v>circular economy</c:v>
                </c:pt>
                <c:pt idx="12">
                  <c:v>vocational training</c:v>
                </c:pt>
                <c:pt idx="13">
                  <c:v>smart specialisation strategies</c:v>
                </c:pt>
                <c:pt idx="14">
                  <c:v>field trial</c:v>
                </c:pt>
              </c:strCache>
            </c:strRef>
          </c:cat>
          <c:val>
            <c:numRef>
              <c:f>services_Analysis!$C$2:$C$17</c:f>
              <c:numCache>
                <c:formatCode>0.00%</c:formatCode>
                <c:ptCount val="15"/>
                <c:pt idx="0">
                  <c:v>0.83838383838383834</c:v>
                </c:pt>
                <c:pt idx="1">
                  <c:v>0.734006734006734</c:v>
                </c:pt>
                <c:pt idx="2">
                  <c:v>0.71043771043771042</c:v>
                </c:pt>
                <c:pt idx="3">
                  <c:v>0.69360269360269355</c:v>
                </c:pt>
                <c:pt idx="4">
                  <c:v>0.68013468013468015</c:v>
                </c:pt>
                <c:pt idx="5">
                  <c:v>0.67003367003366998</c:v>
                </c:pt>
                <c:pt idx="6">
                  <c:v>0.64309764309764306</c:v>
                </c:pt>
                <c:pt idx="7">
                  <c:v>0.54208754208754206</c:v>
                </c:pt>
                <c:pt idx="8">
                  <c:v>0.48821548821548821</c:v>
                </c:pt>
                <c:pt idx="9">
                  <c:v>0.45117845117845118</c:v>
                </c:pt>
                <c:pt idx="10">
                  <c:v>0.43434343434343436</c:v>
                </c:pt>
                <c:pt idx="11">
                  <c:v>0.40067340067340068</c:v>
                </c:pt>
                <c:pt idx="12">
                  <c:v>0.39730639730639733</c:v>
                </c:pt>
                <c:pt idx="13">
                  <c:v>0.35353535353535354</c:v>
                </c:pt>
                <c:pt idx="14">
                  <c:v>0.32996632996632996</c:v>
                </c:pt>
              </c:numCache>
            </c:numRef>
          </c:val>
          <c:smooth val="0"/>
          <c:extLst>
            <c:ext xmlns:c16="http://schemas.microsoft.com/office/drawing/2014/chart" uri="{C3380CC4-5D6E-409C-BE32-E72D297353CC}">
              <c16:uniqueId val="{00000003-02F4-4F6B-B502-F21F8C386965}"/>
            </c:ext>
          </c:extLst>
        </c:ser>
        <c:dLbls>
          <c:showLegendKey val="0"/>
          <c:showVal val="0"/>
          <c:showCatName val="0"/>
          <c:showSerName val="0"/>
          <c:showPercent val="0"/>
          <c:showBubbleSize val="0"/>
        </c:dLbls>
        <c:marker val="1"/>
        <c:smooth val="0"/>
        <c:axId val="449528327"/>
        <c:axId val="449517063"/>
      </c:lineChart>
      <c:catAx>
        <c:axId val="13968598"/>
        <c:scaling>
          <c:orientation val="minMax"/>
        </c:scaling>
        <c:delete val="0"/>
        <c:axPos val="b"/>
        <c:title>
          <c:tx>
            <c:rich>
              <a:bodyPr/>
              <a:lstStyle/>
              <a:p>
                <a:pPr>
                  <a:defRPr/>
                </a:pPr>
                <a:r>
                  <a:rPr lang="en-US"/>
                  <a:t>Formatted Services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0940503"/>
        <c:crosses val="autoZero"/>
        <c:auto val="1"/>
        <c:lblAlgn val="ctr"/>
        <c:lblOffset val="100"/>
        <c:noMultiLvlLbl val="1"/>
      </c:catAx>
      <c:valAx>
        <c:axId val="4909405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a:t>Service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968598"/>
        <c:crosses val="max"/>
        <c:crossBetween val="between"/>
      </c:valAx>
      <c:valAx>
        <c:axId val="449517063"/>
        <c:scaling>
          <c:orientation val="minMax"/>
        </c:scaling>
        <c:delete val="0"/>
        <c:axPos val="l"/>
        <c:title>
          <c:tx>
            <c:rich>
              <a:bodyPr/>
              <a:lstStyle/>
              <a:p>
                <a:pPr>
                  <a:defRPr/>
                </a:pPr>
                <a:r>
                  <a:rPr lang="en-US"/>
                  <a:t>Services Coverage(%)</a:t>
                </a:r>
              </a:p>
            </c:rich>
          </c:tx>
          <c:overlay val="0"/>
        </c:title>
        <c:numFmt formatCode="0.00%" sourceLinked="1"/>
        <c:majorTickMark val="out"/>
        <c:minorTickMark val="none"/>
        <c:tickLblPos val="nextTo"/>
        <c:crossAx val="449528327"/>
        <c:crosses val="autoZero"/>
        <c:crossBetween val="between"/>
      </c:valAx>
      <c:catAx>
        <c:axId val="449528327"/>
        <c:scaling>
          <c:orientation val="minMax"/>
        </c:scaling>
        <c:delete val="1"/>
        <c:axPos val="b"/>
        <c:numFmt formatCode="General" sourceLinked="1"/>
        <c:majorTickMark val="out"/>
        <c:minorTickMark val="none"/>
        <c:tickLblPos val="nextTo"/>
        <c:crossAx val="449517063"/>
        <c:crosses val="autoZero"/>
        <c:auto val="1"/>
        <c:lblAlgn val="ctr"/>
        <c:lblOffset val="100"/>
        <c:noMultiLvlLbl val="0"/>
      </c:cat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EDIHs Sector Keyword Analysis</a:t>
            </a:r>
          </a:p>
        </c:rich>
      </c:tx>
      <c:overlay val="0"/>
    </c:title>
    <c:autoTitleDeleted val="0"/>
    <c:plotArea>
      <c:layout/>
      <c:barChart>
        <c:barDir val="col"/>
        <c:grouping val="clustered"/>
        <c:varyColors val="1"/>
        <c:ser>
          <c:idx val="0"/>
          <c:order val="0"/>
          <c:tx>
            <c:strRef>
              <c:f>sectors_Analysis!$B$1</c:f>
              <c:strCache>
                <c:ptCount val="1"/>
                <c:pt idx="0">
                  <c:v>Sector Count</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sectors_Analysis!$A$2:$A$16</c:f>
              <c:strCache>
                <c:ptCount val="15"/>
                <c:pt idx="0">
                  <c:v>manufacturing and processing</c:v>
                </c:pt>
                <c:pt idx="1">
                  <c:v>energy</c:v>
                </c:pt>
                <c:pt idx="2">
                  <c:v>health care</c:v>
                </c:pt>
                <c:pt idx="3">
                  <c:v>smart city</c:v>
                </c:pt>
                <c:pt idx="4">
                  <c:v>public administration</c:v>
                </c:pt>
                <c:pt idx="5">
                  <c:v>education</c:v>
                </c:pt>
                <c:pt idx="6">
                  <c:v>environment</c:v>
                </c:pt>
                <c:pt idx="7">
                  <c:v>transport mobility</c:v>
                </c:pt>
                <c:pt idx="8">
                  <c:v>automotive</c:v>
                </c:pt>
                <c:pt idx="9">
                  <c:v>agricultural biotechnology and food biotechnology</c:v>
                </c:pt>
                <c:pt idx="10">
                  <c:v>construction assembly</c:v>
                </c:pt>
                <c:pt idx="11">
                  <c:v>metal working and industrial production</c:v>
                </c:pt>
                <c:pt idx="12">
                  <c:v>travel and tourism</c:v>
                </c:pt>
                <c:pt idx="13">
                  <c:v>telecommunications</c:v>
                </c:pt>
                <c:pt idx="14">
                  <c:v>food and beverages</c:v>
                </c:pt>
              </c:strCache>
            </c:strRef>
          </c:cat>
          <c:val>
            <c:numRef>
              <c:f>sectors_Analysis!$B$2:$B$16</c:f>
              <c:numCache>
                <c:formatCode>General</c:formatCode>
                <c:ptCount val="15"/>
                <c:pt idx="0">
                  <c:v>198</c:v>
                </c:pt>
                <c:pt idx="1">
                  <c:v>155</c:v>
                </c:pt>
                <c:pt idx="2">
                  <c:v>143</c:v>
                </c:pt>
                <c:pt idx="3">
                  <c:v>137</c:v>
                </c:pt>
                <c:pt idx="4">
                  <c:v>132</c:v>
                </c:pt>
                <c:pt idx="5">
                  <c:v>127</c:v>
                </c:pt>
                <c:pt idx="6">
                  <c:v>120</c:v>
                </c:pt>
                <c:pt idx="7">
                  <c:v>119</c:v>
                </c:pt>
                <c:pt idx="8">
                  <c:v>114</c:v>
                </c:pt>
                <c:pt idx="9">
                  <c:v>98</c:v>
                </c:pt>
                <c:pt idx="10">
                  <c:v>89</c:v>
                </c:pt>
                <c:pt idx="11">
                  <c:v>86</c:v>
                </c:pt>
                <c:pt idx="12">
                  <c:v>76</c:v>
                </c:pt>
                <c:pt idx="13">
                  <c:v>73</c:v>
                </c:pt>
                <c:pt idx="14">
                  <c:v>65</c:v>
                </c:pt>
              </c:numCache>
            </c:numRef>
          </c:val>
          <c:extLst>
            <c:ext xmlns:c16="http://schemas.microsoft.com/office/drawing/2014/chart" uri="{C3380CC4-5D6E-409C-BE32-E72D297353CC}">
              <c16:uniqueId val="{0000000A-4D76-4210-BE8C-2FDBD898DCB2}"/>
            </c:ext>
          </c:extLst>
        </c:ser>
        <c:dLbls>
          <c:showLegendKey val="0"/>
          <c:showVal val="0"/>
          <c:showCatName val="0"/>
          <c:showSerName val="0"/>
          <c:showPercent val="0"/>
          <c:showBubbleSize val="0"/>
        </c:dLbls>
        <c:gapWidth val="150"/>
        <c:axId val="13968598"/>
        <c:axId val="490940503"/>
      </c:barChart>
      <c:lineChart>
        <c:grouping val="standard"/>
        <c:varyColors val="1"/>
        <c:ser>
          <c:idx val="1"/>
          <c:order val="1"/>
          <c:tx>
            <c:strRef>
              <c:f>sectors_Analysis!$C$1</c:f>
              <c:strCache>
                <c:ptCount val="1"/>
                <c:pt idx="0">
                  <c:v>Sector Coverage(%)</c:v>
                </c:pt>
              </c:strCache>
            </c:strRef>
          </c:tx>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sectors_Analysis!$A$2:$A$16</c:f>
              <c:strCache>
                <c:ptCount val="15"/>
                <c:pt idx="0">
                  <c:v>manufacturing and processing</c:v>
                </c:pt>
                <c:pt idx="1">
                  <c:v>energy</c:v>
                </c:pt>
                <c:pt idx="2">
                  <c:v>health care</c:v>
                </c:pt>
                <c:pt idx="3">
                  <c:v>smart city</c:v>
                </c:pt>
                <c:pt idx="4">
                  <c:v>public administration</c:v>
                </c:pt>
                <c:pt idx="5">
                  <c:v>education</c:v>
                </c:pt>
                <c:pt idx="6">
                  <c:v>environment</c:v>
                </c:pt>
                <c:pt idx="7">
                  <c:v>transport mobility</c:v>
                </c:pt>
                <c:pt idx="8">
                  <c:v>automotive</c:v>
                </c:pt>
                <c:pt idx="9">
                  <c:v>agricultural biotechnology and food biotechnology</c:v>
                </c:pt>
                <c:pt idx="10">
                  <c:v>construction assembly</c:v>
                </c:pt>
                <c:pt idx="11">
                  <c:v>metal working and industrial production</c:v>
                </c:pt>
                <c:pt idx="12">
                  <c:v>travel and tourism</c:v>
                </c:pt>
                <c:pt idx="13">
                  <c:v>telecommunications</c:v>
                </c:pt>
                <c:pt idx="14">
                  <c:v>food and beverages</c:v>
                </c:pt>
              </c:strCache>
            </c:strRef>
          </c:cat>
          <c:val>
            <c:numRef>
              <c:f>sectors_Analysis!$C$2:$C$16</c:f>
              <c:numCache>
                <c:formatCode>0.00%</c:formatCode>
                <c:ptCount val="15"/>
                <c:pt idx="0">
                  <c:v>0.66666666666666663</c:v>
                </c:pt>
                <c:pt idx="1">
                  <c:v>0.52188552188552184</c:v>
                </c:pt>
                <c:pt idx="2">
                  <c:v>0.48148148148148145</c:v>
                </c:pt>
                <c:pt idx="3">
                  <c:v>0.46127946127946129</c:v>
                </c:pt>
                <c:pt idx="4">
                  <c:v>0.44444444444444442</c:v>
                </c:pt>
                <c:pt idx="5">
                  <c:v>0.42760942760942761</c:v>
                </c:pt>
                <c:pt idx="6">
                  <c:v>0.40404040404040403</c:v>
                </c:pt>
                <c:pt idx="7">
                  <c:v>0.40067340067340068</c:v>
                </c:pt>
                <c:pt idx="8">
                  <c:v>0.38383838383838381</c:v>
                </c:pt>
                <c:pt idx="9">
                  <c:v>0.32996632996632996</c:v>
                </c:pt>
                <c:pt idx="10">
                  <c:v>0.29966329966329969</c:v>
                </c:pt>
                <c:pt idx="11">
                  <c:v>0.28956228956228958</c:v>
                </c:pt>
                <c:pt idx="12">
                  <c:v>0.25589225589225589</c:v>
                </c:pt>
                <c:pt idx="13">
                  <c:v>0.24579124579124578</c:v>
                </c:pt>
                <c:pt idx="14">
                  <c:v>0.21885521885521886</c:v>
                </c:pt>
              </c:numCache>
            </c:numRef>
          </c:val>
          <c:smooth val="0"/>
          <c:extLst>
            <c:ext xmlns:c16="http://schemas.microsoft.com/office/drawing/2014/chart" uri="{C3380CC4-5D6E-409C-BE32-E72D297353CC}">
              <c16:uniqueId val="{0000000C-4D76-4210-BE8C-2FDBD898DCB2}"/>
            </c:ext>
          </c:extLst>
        </c:ser>
        <c:dLbls>
          <c:showLegendKey val="0"/>
          <c:showVal val="0"/>
          <c:showCatName val="0"/>
          <c:showSerName val="0"/>
          <c:showPercent val="0"/>
          <c:showBubbleSize val="0"/>
        </c:dLbls>
        <c:marker val="1"/>
        <c:smooth val="0"/>
        <c:axId val="859436552"/>
        <c:axId val="859429384"/>
      </c:lineChart>
      <c:catAx>
        <c:axId val="13968598"/>
        <c:scaling>
          <c:orientation val="minMax"/>
        </c:scaling>
        <c:delete val="0"/>
        <c:axPos val="b"/>
        <c:title>
          <c:tx>
            <c:rich>
              <a:bodyPr/>
              <a:lstStyle/>
              <a:p>
                <a:pPr>
                  <a:defRPr/>
                </a:pPr>
                <a:r>
                  <a:rPr lang="en-US"/>
                  <a:t>Formatted Sectors</a:t>
                </a:r>
              </a:p>
            </c:rich>
          </c:tx>
          <c:overlay val="0"/>
        </c:title>
        <c:numFmt formatCode="General" sourceLinked="1"/>
        <c:majorTickMark val="none"/>
        <c:minorTickMark val="none"/>
        <c:tickLblPos val="nextTo"/>
        <c:crossAx val="490940503"/>
        <c:crosses val="autoZero"/>
        <c:auto val="1"/>
        <c:lblAlgn val="ctr"/>
        <c:lblOffset val="100"/>
        <c:noMultiLvlLbl val="1"/>
      </c:catAx>
      <c:valAx>
        <c:axId val="4909405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a:t>Sector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968598"/>
        <c:crosses val="max"/>
        <c:crossBetween val="between"/>
      </c:valAx>
      <c:valAx>
        <c:axId val="859429384"/>
        <c:scaling>
          <c:orientation val="minMax"/>
        </c:scaling>
        <c:delete val="0"/>
        <c:axPos val="l"/>
        <c:title>
          <c:tx>
            <c:rich>
              <a:bodyPr/>
              <a:lstStyle/>
              <a:p>
                <a:pPr>
                  <a:defRPr/>
                </a:pPr>
                <a:r>
                  <a:rPr lang="en-US"/>
                  <a:t>Sector Coverage(%)</a:t>
                </a:r>
              </a:p>
            </c:rich>
          </c:tx>
          <c:overlay val="0"/>
        </c:title>
        <c:numFmt formatCode="0.00%" sourceLinked="1"/>
        <c:majorTickMark val="out"/>
        <c:minorTickMark val="none"/>
        <c:tickLblPos val="nextTo"/>
        <c:crossAx val="859436552"/>
        <c:crosses val="autoZero"/>
        <c:crossBetween val="between"/>
      </c:valAx>
      <c:catAx>
        <c:axId val="859436552"/>
        <c:scaling>
          <c:orientation val="minMax"/>
        </c:scaling>
        <c:delete val="1"/>
        <c:axPos val="b"/>
        <c:numFmt formatCode="General" sourceLinked="1"/>
        <c:majorTickMark val="out"/>
        <c:minorTickMark val="none"/>
        <c:tickLblPos val="nextTo"/>
        <c:crossAx val="859429384"/>
        <c:crosses val="autoZero"/>
        <c:auto val="1"/>
        <c:lblAlgn val="ctr"/>
        <c:lblOffset val="100"/>
        <c:noMultiLvlLbl val="0"/>
      </c:cat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EDIHs Technologies Keyword Analysis</a:t>
            </a:r>
          </a:p>
        </c:rich>
      </c:tx>
      <c:overlay val="0"/>
    </c:title>
    <c:autoTitleDeleted val="0"/>
    <c:plotArea>
      <c:layout/>
      <c:barChart>
        <c:barDir val="col"/>
        <c:grouping val="clustered"/>
        <c:varyColors val="1"/>
        <c:ser>
          <c:idx val="0"/>
          <c:order val="0"/>
          <c:tx>
            <c:strRef>
              <c:f>technologies_Analysis!$B$1</c:f>
              <c:strCache>
                <c:ptCount val="1"/>
                <c:pt idx="0">
                  <c:v>Technologies Count</c:v>
                </c:pt>
              </c:strCache>
            </c:strRef>
          </c:tx>
          <c:spPr>
            <a:solidFill>
              <a:srgbClr val="4F81BD"/>
            </a:solidFill>
            <a:ln cmpd="sng">
              <a:solidFill>
                <a:srgbClr val="000000"/>
              </a:solidFill>
            </a:ln>
          </c:spPr>
          <c:invertIfNegative val="1"/>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technologies_Analysis!$A$2:$A$19</c:f>
              <c:strCache>
                <c:ptCount val="18"/>
                <c:pt idx="0">
                  <c:v>artificial intelligence decision support</c:v>
                </c:pt>
                <c:pt idx="1">
                  <c:v>internet of things</c:v>
                </c:pt>
                <c:pt idx="2">
                  <c:v>cybersecurity</c:v>
                </c:pt>
                <c:pt idx="3">
                  <c:v>big data</c:v>
                </c:pt>
                <c:pt idx="4">
                  <c:v>digital twins</c:v>
                </c:pt>
                <c:pt idx="5">
                  <c:v>robotics</c:v>
                </c:pt>
                <c:pt idx="6">
                  <c:v>high performance computing</c:v>
                </c:pt>
                <c:pt idx="7">
                  <c:v>virtual reality</c:v>
                </c:pt>
                <c:pt idx="8">
                  <c:v>sensors vision processing systems</c:v>
                </c:pt>
                <c:pt idx="9">
                  <c:v>simulation engineering and modelling</c:v>
                </c:pt>
                <c:pt idx="10">
                  <c:v>additive manufacturing</c:v>
                </c:pt>
                <c:pt idx="11">
                  <c:v>cloud services</c:v>
                </c:pt>
                <c:pt idx="12">
                  <c:v>cyberphysical systems</c:v>
                </c:pt>
                <c:pt idx="13">
                  <c:v>internet services applications</c:v>
                </c:pt>
                <c:pt idx="14">
                  <c:v>communication network</c:v>
                </c:pt>
                <c:pt idx="15">
                  <c:v>blockchain and distributed ledger technology dlt</c:v>
                </c:pt>
                <c:pt idx="16">
                  <c:v>human computer interaction</c:v>
                </c:pt>
                <c:pt idx="17">
                  <c:v>mobility</c:v>
                </c:pt>
              </c:strCache>
            </c:strRef>
          </c:cat>
          <c:val>
            <c:numRef>
              <c:f>technologies_Analysis!$B$2:$B$19</c:f>
              <c:numCache>
                <c:formatCode>General</c:formatCode>
                <c:ptCount val="18"/>
                <c:pt idx="0">
                  <c:v>265</c:v>
                </c:pt>
                <c:pt idx="1">
                  <c:v>206</c:v>
                </c:pt>
                <c:pt idx="2">
                  <c:v>201</c:v>
                </c:pt>
                <c:pt idx="3">
                  <c:v>172</c:v>
                </c:pt>
                <c:pt idx="4">
                  <c:v>166</c:v>
                </c:pt>
                <c:pt idx="5">
                  <c:v>158</c:v>
                </c:pt>
                <c:pt idx="6">
                  <c:v>146</c:v>
                </c:pt>
                <c:pt idx="7">
                  <c:v>145</c:v>
                </c:pt>
                <c:pt idx="8">
                  <c:v>132</c:v>
                </c:pt>
                <c:pt idx="9">
                  <c:v>120</c:v>
                </c:pt>
                <c:pt idx="10">
                  <c:v>110</c:v>
                </c:pt>
                <c:pt idx="11">
                  <c:v>103</c:v>
                </c:pt>
                <c:pt idx="12">
                  <c:v>100</c:v>
                </c:pt>
                <c:pt idx="13">
                  <c:v>91</c:v>
                </c:pt>
                <c:pt idx="14">
                  <c:v>90</c:v>
                </c:pt>
                <c:pt idx="15">
                  <c:v>88</c:v>
                </c:pt>
                <c:pt idx="16">
                  <c:v>83</c:v>
                </c:pt>
                <c:pt idx="17">
                  <c:v>78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F86-483E-A428-C409C886A8AD}"/>
            </c:ext>
          </c:extLst>
        </c:ser>
        <c:ser>
          <c:idx val="2"/>
          <c:order val="2"/>
          <c:tx>
            <c:strRef>
              <c:f>technologies_Analysis!$D$1</c:f>
              <c:strCache>
                <c:ptCount val="1"/>
                <c:pt idx="0">
                  <c:v>Contribution to total(%)</c:v>
                </c:pt>
              </c:strCache>
            </c:strRef>
          </c:tx>
          <c:invertIfNegative val="0"/>
          <c:cat>
            <c:strRef>
              <c:f>technologies_Analysis!$A$2:$A$19</c:f>
              <c:strCache>
                <c:ptCount val="18"/>
                <c:pt idx="0">
                  <c:v>artificial intelligence decision support</c:v>
                </c:pt>
                <c:pt idx="1">
                  <c:v>internet of things</c:v>
                </c:pt>
                <c:pt idx="2">
                  <c:v>cybersecurity</c:v>
                </c:pt>
                <c:pt idx="3">
                  <c:v>big data</c:v>
                </c:pt>
                <c:pt idx="4">
                  <c:v>digital twins</c:v>
                </c:pt>
                <c:pt idx="5">
                  <c:v>robotics</c:v>
                </c:pt>
                <c:pt idx="6">
                  <c:v>high performance computing</c:v>
                </c:pt>
                <c:pt idx="7">
                  <c:v>virtual reality</c:v>
                </c:pt>
                <c:pt idx="8">
                  <c:v>sensors vision processing systems</c:v>
                </c:pt>
                <c:pt idx="9">
                  <c:v>simulation engineering and modelling</c:v>
                </c:pt>
                <c:pt idx="10">
                  <c:v>additive manufacturing</c:v>
                </c:pt>
                <c:pt idx="11">
                  <c:v>cloud services</c:v>
                </c:pt>
                <c:pt idx="12">
                  <c:v>cyberphysical systems</c:v>
                </c:pt>
                <c:pt idx="13">
                  <c:v>internet services applications</c:v>
                </c:pt>
                <c:pt idx="14">
                  <c:v>communication network</c:v>
                </c:pt>
                <c:pt idx="15">
                  <c:v>blockchain and distributed ledger technology dlt</c:v>
                </c:pt>
                <c:pt idx="16">
                  <c:v>human computer interaction</c:v>
                </c:pt>
                <c:pt idx="17">
                  <c:v>mobility</c:v>
                </c:pt>
              </c:strCache>
            </c:strRef>
          </c:cat>
          <c:val>
            <c:numRef>
              <c:f>technologies_Analysis!$D$2:$D$19</c:f>
              <c:numCache>
                <c:formatCode>0.00%</c:formatCode>
                <c:ptCount val="18"/>
                <c:pt idx="0">
                  <c:v>8.4529505582137163E-2</c:v>
                </c:pt>
                <c:pt idx="1">
                  <c:v>6.5709728867623607E-2</c:v>
                </c:pt>
                <c:pt idx="2">
                  <c:v>6.4114832535885166E-2</c:v>
                </c:pt>
                <c:pt idx="3">
                  <c:v>5.4864433811802234E-2</c:v>
                </c:pt>
                <c:pt idx="4">
                  <c:v>5.2950558213716109E-2</c:v>
                </c:pt>
                <c:pt idx="5">
                  <c:v>5.0398724082934609E-2</c:v>
                </c:pt>
                <c:pt idx="6">
                  <c:v>4.657097288676236E-2</c:v>
                </c:pt>
                <c:pt idx="7">
                  <c:v>4.6251993620414676E-2</c:v>
                </c:pt>
                <c:pt idx="8">
                  <c:v>4.2105263157894736E-2</c:v>
                </c:pt>
                <c:pt idx="9">
                  <c:v>3.8277511961722487E-2</c:v>
                </c:pt>
                <c:pt idx="10">
                  <c:v>3.5087719298245612E-2</c:v>
                </c:pt>
                <c:pt idx="11">
                  <c:v>3.2854864433811803E-2</c:v>
                </c:pt>
                <c:pt idx="12">
                  <c:v>3.1897926634768738E-2</c:v>
                </c:pt>
                <c:pt idx="13">
                  <c:v>2.9027113237639554E-2</c:v>
                </c:pt>
                <c:pt idx="14">
                  <c:v>2.8708133971291867E-2</c:v>
                </c:pt>
                <c:pt idx="15">
                  <c:v>2.8070175438596492E-2</c:v>
                </c:pt>
                <c:pt idx="16">
                  <c:v>2.6475279106858055E-2</c:v>
                </c:pt>
                <c:pt idx="17">
                  <c:v>2.4880382775119617E-2</c:v>
                </c:pt>
              </c:numCache>
            </c:numRef>
          </c:val>
          <c:extLst>
            <c:ext xmlns:c16="http://schemas.microsoft.com/office/drawing/2014/chart" uri="{C3380CC4-5D6E-409C-BE32-E72D297353CC}">
              <c16:uniqueId val="{00000005-8F86-483E-A428-C409C886A8AD}"/>
            </c:ext>
          </c:extLst>
        </c:ser>
        <c:ser>
          <c:idx val="3"/>
          <c:order val="3"/>
          <c:tx>
            <c:strRef>
              <c:f>technologies_Analysis!$E$1</c:f>
              <c:strCache>
                <c:ptCount val="1"/>
                <c:pt idx="0">
                  <c:v>Commulative Percentage</c:v>
                </c:pt>
              </c:strCache>
            </c:strRef>
          </c:tx>
          <c:invertIfNegative val="0"/>
          <c:cat>
            <c:strRef>
              <c:f>technologies_Analysis!$A$2:$A$19</c:f>
              <c:strCache>
                <c:ptCount val="18"/>
                <c:pt idx="0">
                  <c:v>artificial intelligence decision support</c:v>
                </c:pt>
                <c:pt idx="1">
                  <c:v>internet of things</c:v>
                </c:pt>
                <c:pt idx="2">
                  <c:v>cybersecurity</c:v>
                </c:pt>
                <c:pt idx="3">
                  <c:v>big data</c:v>
                </c:pt>
                <c:pt idx="4">
                  <c:v>digital twins</c:v>
                </c:pt>
                <c:pt idx="5">
                  <c:v>robotics</c:v>
                </c:pt>
                <c:pt idx="6">
                  <c:v>high performance computing</c:v>
                </c:pt>
                <c:pt idx="7">
                  <c:v>virtual reality</c:v>
                </c:pt>
                <c:pt idx="8">
                  <c:v>sensors vision processing systems</c:v>
                </c:pt>
                <c:pt idx="9">
                  <c:v>simulation engineering and modelling</c:v>
                </c:pt>
                <c:pt idx="10">
                  <c:v>additive manufacturing</c:v>
                </c:pt>
                <c:pt idx="11">
                  <c:v>cloud services</c:v>
                </c:pt>
                <c:pt idx="12">
                  <c:v>cyberphysical systems</c:v>
                </c:pt>
                <c:pt idx="13">
                  <c:v>internet services applications</c:v>
                </c:pt>
                <c:pt idx="14">
                  <c:v>communication network</c:v>
                </c:pt>
                <c:pt idx="15">
                  <c:v>blockchain and distributed ledger technology dlt</c:v>
                </c:pt>
                <c:pt idx="16">
                  <c:v>human computer interaction</c:v>
                </c:pt>
                <c:pt idx="17">
                  <c:v>mobility</c:v>
                </c:pt>
              </c:strCache>
            </c:strRef>
          </c:cat>
          <c:val>
            <c:numRef>
              <c:f>technologies_Analysis!$E$2:$E$19</c:f>
              <c:numCache>
                <c:formatCode>0.00%</c:formatCode>
                <c:ptCount val="18"/>
                <c:pt idx="0">
                  <c:v>8.4529505582137163E-2</c:v>
                </c:pt>
                <c:pt idx="1">
                  <c:v>0.15023923444976078</c:v>
                </c:pt>
                <c:pt idx="2">
                  <c:v>0.21435406698564596</c:v>
                </c:pt>
                <c:pt idx="3">
                  <c:v>0.26921850079744819</c:v>
                </c:pt>
                <c:pt idx="4">
                  <c:v>0.32216905901116433</c:v>
                </c:pt>
                <c:pt idx="5">
                  <c:v>0.37256778309409894</c:v>
                </c:pt>
                <c:pt idx="6">
                  <c:v>0.41913875598086131</c:v>
                </c:pt>
                <c:pt idx="7">
                  <c:v>0.46539074960127597</c:v>
                </c:pt>
                <c:pt idx="8">
                  <c:v>0.50749601275917067</c:v>
                </c:pt>
                <c:pt idx="9">
                  <c:v>0.54577352472089313</c:v>
                </c:pt>
                <c:pt idx="10">
                  <c:v>0.58086124401913874</c:v>
                </c:pt>
                <c:pt idx="11">
                  <c:v>0.61371610845295055</c:v>
                </c:pt>
                <c:pt idx="12">
                  <c:v>0.64561403508771931</c:v>
                </c:pt>
                <c:pt idx="13">
                  <c:v>0.67464114832535882</c:v>
                </c:pt>
                <c:pt idx="14">
                  <c:v>0.70334928229665072</c:v>
                </c:pt>
                <c:pt idx="15">
                  <c:v>0.73141945773524719</c:v>
                </c:pt>
                <c:pt idx="16">
                  <c:v>0.75789473684210529</c:v>
                </c:pt>
                <c:pt idx="17">
                  <c:v>0.7827751196172249</c:v>
                </c:pt>
              </c:numCache>
            </c:numRef>
          </c:val>
          <c:extLst>
            <c:ext xmlns:c16="http://schemas.microsoft.com/office/drawing/2014/chart" uri="{C3380CC4-5D6E-409C-BE32-E72D297353CC}">
              <c16:uniqueId val="{00000007-8F86-483E-A428-C409C886A8AD}"/>
            </c:ext>
          </c:extLst>
        </c:ser>
        <c:dLbls>
          <c:showLegendKey val="0"/>
          <c:showVal val="0"/>
          <c:showCatName val="0"/>
          <c:showSerName val="0"/>
          <c:showPercent val="0"/>
          <c:showBubbleSize val="0"/>
        </c:dLbls>
        <c:gapWidth val="150"/>
        <c:axId val="13968598"/>
        <c:axId val="490940503"/>
      </c:barChart>
      <c:lineChart>
        <c:grouping val="standard"/>
        <c:varyColors val="1"/>
        <c:ser>
          <c:idx val="1"/>
          <c:order val="1"/>
          <c:tx>
            <c:strRef>
              <c:f>technologies_Analysis!$C$1</c:f>
              <c:strCache>
                <c:ptCount val="1"/>
                <c:pt idx="0">
                  <c:v>Technologies Coverage(%)</c:v>
                </c:pt>
              </c:strCache>
            </c:strRef>
          </c:tx>
          <c:spPr>
            <a:ln>
              <a:solidFill>
                <a:srgbClr val="C0504D"/>
              </a:solidFill>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technologies_Analysis!$A$2:$A$19</c:f>
              <c:strCache>
                <c:ptCount val="18"/>
                <c:pt idx="0">
                  <c:v>artificial intelligence decision support</c:v>
                </c:pt>
                <c:pt idx="1">
                  <c:v>internet of things</c:v>
                </c:pt>
                <c:pt idx="2">
                  <c:v>cybersecurity</c:v>
                </c:pt>
                <c:pt idx="3">
                  <c:v>big data</c:v>
                </c:pt>
                <c:pt idx="4">
                  <c:v>digital twins</c:v>
                </c:pt>
                <c:pt idx="5">
                  <c:v>robotics</c:v>
                </c:pt>
                <c:pt idx="6">
                  <c:v>high performance computing</c:v>
                </c:pt>
                <c:pt idx="7">
                  <c:v>virtual reality</c:v>
                </c:pt>
                <c:pt idx="8">
                  <c:v>sensors vision processing systems</c:v>
                </c:pt>
                <c:pt idx="9">
                  <c:v>simulation engineering and modelling</c:v>
                </c:pt>
                <c:pt idx="10">
                  <c:v>additive manufacturing</c:v>
                </c:pt>
                <c:pt idx="11">
                  <c:v>cloud services</c:v>
                </c:pt>
                <c:pt idx="12">
                  <c:v>cyberphysical systems</c:v>
                </c:pt>
                <c:pt idx="13">
                  <c:v>internet services applications</c:v>
                </c:pt>
                <c:pt idx="14">
                  <c:v>communication network</c:v>
                </c:pt>
                <c:pt idx="15">
                  <c:v>blockchain and distributed ledger technology dlt</c:v>
                </c:pt>
                <c:pt idx="16">
                  <c:v>human computer interaction</c:v>
                </c:pt>
                <c:pt idx="17">
                  <c:v>mobility</c:v>
                </c:pt>
              </c:strCache>
            </c:strRef>
          </c:cat>
          <c:val>
            <c:numRef>
              <c:f>technologies_Analysis!$C$2:$C$19</c:f>
              <c:numCache>
                <c:formatCode>0.00%</c:formatCode>
                <c:ptCount val="18"/>
                <c:pt idx="0">
                  <c:v>0.8922558922558923</c:v>
                </c:pt>
                <c:pt idx="1">
                  <c:v>0.69360269360269355</c:v>
                </c:pt>
                <c:pt idx="2">
                  <c:v>0.6767676767676768</c:v>
                </c:pt>
                <c:pt idx="3">
                  <c:v>0.57912457912457915</c:v>
                </c:pt>
                <c:pt idx="4">
                  <c:v>0.55892255892255893</c:v>
                </c:pt>
                <c:pt idx="5">
                  <c:v>0.53198653198653201</c:v>
                </c:pt>
                <c:pt idx="6">
                  <c:v>0.49158249158249157</c:v>
                </c:pt>
                <c:pt idx="7">
                  <c:v>0.48821548821548821</c:v>
                </c:pt>
                <c:pt idx="8">
                  <c:v>0.44444444444444442</c:v>
                </c:pt>
                <c:pt idx="9">
                  <c:v>0.40404040404040403</c:v>
                </c:pt>
                <c:pt idx="10">
                  <c:v>0.37037037037037035</c:v>
                </c:pt>
                <c:pt idx="11">
                  <c:v>0.34680134680134678</c:v>
                </c:pt>
                <c:pt idx="12">
                  <c:v>0.33670033670033672</c:v>
                </c:pt>
                <c:pt idx="13">
                  <c:v>0.30639730639730639</c:v>
                </c:pt>
                <c:pt idx="14">
                  <c:v>0.30303030303030304</c:v>
                </c:pt>
                <c:pt idx="15">
                  <c:v>0.29629629629629628</c:v>
                </c:pt>
                <c:pt idx="16">
                  <c:v>0.27946127946127947</c:v>
                </c:pt>
                <c:pt idx="17">
                  <c:v>0.26262626262626265</c:v>
                </c:pt>
              </c:numCache>
            </c:numRef>
          </c:val>
          <c:smooth val="0"/>
          <c:extLst>
            <c:ext xmlns:c16="http://schemas.microsoft.com/office/drawing/2014/chart" uri="{C3380CC4-5D6E-409C-BE32-E72D297353CC}">
              <c16:uniqueId val="{00000003-8F86-483E-A428-C409C886A8AD}"/>
            </c:ext>
          </c:extLst>
        </c:ser>
        <c:dLbls>
          <c:showLegendKey val="0"/>
          <c:showVal val="0"/>
          <c:showCatName val="0"/>
          <c:showSerName val="0"/>
          <c:showPercent val="0"/>
          <c:showBubbleSize val="0"/>
        </c:dLbls>
        <c:marker val="1"/>
        <c:smooth val="0"/>
        <c:axId val="1573598639"/>
        <c:axId val="1573582319"/>
      </c:lineChart>
      <c:catAx>
        <c:axId val="13968598"/>
        <c:scaling>
          <c:orientation val="minMax"/>
        </c:scaling>
        <c:delete val="0"/>
        <c:axPos val="b"/>
        <c:title>
          <c:tx>
            <c:rich>
              <a:bodyPr/>
              <a:lstStyle/>
              <a:p>
                <a:pPr>
                  <a:defRPr/>
                </a:pPr>
                <a:r>
                  <a:rPr lang="en-US"/>
                  <a:t>Formatted Technologies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0940503"/>
        <c:crosses val="autoZero"/>
        <c:auto val="1"/>
        <c:lblAlgn val="ctr"/>
        <c:lblOffset val="100"/>
        <c:noMultiLvlLbl val="1"/>
      </c:catAx>
      <c:valAx>
        <c:axId val="4909405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a:t>Cot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968598"/>
        <c:crosses val="max"/>
        <c:crossBetween val="between"/>
      </c:valAx>
      <c:valAx>
        <c:axId val="1573582319"/>
        <c:scaling>
          <c:orientation val="minMax"/>
        </c:scaling>
        <c:delete val="0"/>
        <c:axPos val="l"/>
        <c:title>
          <c:tx>
            <c:rich>
              <a:bodyPr/>
              <a:lstStyle/>
              <a:p>
                <a:pPr>
                  <a:defRPr/>
                </a:pPr>
                <a:r>
                  <a:rPr lang="en-US"/>
                  <a:t>Tecolog</a:t>
                </a:r>
                <a:r>
                  <a:rPr lang="en-US" baseline="0"/>
                  <a:t> coverage(%)</a:t>
                </a:r>
                <a:endParaRPr lang="en-US"/>
              </a:p>
            </c:rich>
          </c:tx>
          <c:layout>
            <c:manualLayout>
              <c:xMode val="edge"/>
              <c:yMode val="edge"/>
              <c:x val="9.4681793169939174E-3"/>
              <c:y val="0.2790852429256685"/>
            </c:manualLayout>
          </c:layout>
          <c:overlay val="0"/>
        </c:title>
        <c:numFmt formatCode="0.00%" sourceLinked="1"/>
        <c:majorTickMark val="out"/>
        <c:minorTickMark val="none"/>
        <c:tickLblPos val="nextTo"/>
        <c:crossAx val="1573598639"/>
        <c:crosses val="autoZero"/>
        <c:crossBetween val="between"/>
      </c:valAx>
      <c:catAx>
        <c:axId val="1573598639"/>
        <c:scaling>
          <c:orientation val="minMax"/>
        </c:scaling>
        <c:delete val="1"/>
        <c:axPos val="b"/>
        <c:numFmt formatCode="General" sourceLinked="1"/>
        <c:majorTickMark val="out"/>
        <c:minorTickMark val="none"/>
        <c:tickLblPos val="nextTo"/>
        <c:crossAx val="1573582319"/>
        <c:crosses val="autoZero"/>
        <c:auto val="1"/>
        <c:lblAlgn val="ctr"/>
        <c:lblOffset val="100"/>
        <c:noMultiLvlLbl val="0"/>
      </c:cat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9525</xdr:colOff>
      <xdr:row>37</xdr:row>
      <xdr:rowOff>66675</xdr:rowOff>
    </xdr:from>
    <xdr:ext cx="12934950" cy="4600575"/>
    <xdr:graphicFrame macro="">
      <xdr:nvGraphicFramePr>
        <xdr:cNvPr id="2" name="Chart 2"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21</xdr:col>
      <xdr:colOff>314325</xdr:colOff>
      <xdr:row>0</xdr:row>
      <xdr:rowOff>0</xdr:rowOff>
    </xdr:from>
    <xdr:to>
      <xdr:col>38</xdr:col>
      <xdr:colOff>762000</xdr:colOff>
      <xdr:row>38</xdr:row>
      <xdr:rowOff>114300</xdr:rowOff>
    </xdr:to>
    <xdr:graphicFrame macro="">
      <xdr:nvGraphicFramePr>
        <xdr:cNvPr id="3" name="Chart 2" title="Chart">
          <a:extLst>
            <a:ext uri="{FF2B5EF4-FFF2-40B4-BE49-F238E27FC236}">
              <a16:creationId xmlns:a16="http://schemas.microsoft.com/office/drawing/2014/main" id="{02C47701-5A81-45B8-957F-8FF570F1D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285750</xdr:colOff>
      <xdr:row>0</xdr:row>
      <xdr:rowOff>-9525</xdr:rowOff>
    </xdr:from>
    <xdr:to>
      <xdr:col>28</xdr:col>
      <xdr:colOff>676275</xdr:colOff>
      <xdr:row>34</xdr:row>
      <xdr:rowOff>9525</xdr:rowOff>
    </xdr:to>
    <xdr:graphicFrame macro="">
      <xdr:nvGraphicFramePr>
        <xdr:cNvPr id="2" name="Chart 1" title="Chart">
          <a:extLst>
            <a:ext uri="{FF2B5EF4-FFF2-40B4-BE49-F238E27FC236}">
              <a16:creationId xmlns:a16="http://schemas.microsoft.com/office/drawing/2014/main" id="{357F0F27-B4FE-461A-9520-17C10F276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17" totalsRowCount="1">
  <tableColumns count="4">
    <tableColumn id="1" xr3:uid="{00000000-0010-0000-0100-000001000000}" name="Formatted Services"/>
    <tableColumn id="2" xr3:uid="{00000000-0010-0000-0100-000002000000}" name="Services Count" totalsRowFunction="custom">
      <totalsRowFormula>SUM(Table2[Services Count])</totalsRowFormula>
    </tableColumn>
    <tableColumn id="3" xr3:uid="{00000000-0010-0000-0100-000003000000}" name="Service  Coverage(%)"/>
    <tableColumn id="4" xr3:uid="{45022155-4C7D-4E44-BA51-CA3FAF3DF8D0}" name="Contribution to total" dataDxfId="7" totalsRowDxfId="8">
      <calculatedColumnFormula>B2/$B$17</calculatedColumnFormula>
    </tableColumn>
  </tableColumns>
  <tableStyleInfo name="services_Analys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44" headerRowDxfId="6">
  <tableColumns count="4">
    <tableColumn id="1" xr3:uid="{00000000-0010-0000-0000-000001000000}" name="Formatted Sectors"/>
    <tableColumn id="2" xr3:uid="{00000000-0010-0000-0000-000002000000}" name="Sector Count"/>
    <tableColumn id="3" xr3:uid="{00000000-0010-0000-0000-000003000000}" name="Sector Coverage(%)"/>
    <tableColumn id="4" xr3:uid="{C691757C-E1F9-4631-9743-8DF6B1F39997}" name="Contribution to total(%)" dataDxfId="5">
      <calculatedColumnFormula>B2/$B$45</calculatedColumnFormula>
    </tableColumn>
  </tableColumns>
  <tableStyleInfo name="sectors_Analysi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8" totalsRowCount="1">
  <tableColumns count="5">
    <tableColumn id="1" xr3:uid="{00000000-0010-0000-0200-000001000000}" name="Formatted Technologies" totalsRowDxfId="4"/>
    <tableColumn id="2" xr3:uid="{00000000-0010-0000-0200-000002000000}" name="Technologies Count" totalsRowFunction="custom" totalsRowDxfId="3">
      <totalsRowFormula>SUM(Table3[Technologies Count])</totalsRowFormula>
    </tableColumn>
    <tableColumn id="3" xr3:uid="{00000000-0010-0000-0200-000003000000}" name="Technologies Coverage(%)" totalsRowDxfId="2"/>
    <tableColumn id="4" xr3:uid="{00000000-0010-0000-0200-000004000000}" name="Contribution to total(%)" totalsRowDxfId="1">
      <calculatedColumnFormula>B2/$B$38</calculatedColumnFormula>
    </tableColumn>
    <tableColumn id="5" xr3:uid="{85598E49-9D9D-4E6D-B452-B89CFDF983BF}" name="Commulative Percentage" dataDxfId="0">
      <calculatedColumnFormula>D2</calculatedColumnFormula>
    </tableColumn>
  </tableColumns>
  <tableStyleInfo name="technologies_Analysi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heetViews>
  <sheetFormatPr defaultColWidth="14.42578125" defaultRowHeight="15" customHeight="1"/>
  <cols>
    <col min="1" max="26" width="8.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v>1</v>
      </c>
      <c r="B2" s="2">
        <v>5</v>
      </c>
      <c r="C2" s="2" t="s">
        <v>13</v>
      </c>
      <c r="D2" s="2" t="s">
        <v>14</v>
      </c>
      <c r="E2" s="2" t="s">
        <v>15</v>
      </c>
      <c r="F2" s="2" t="s">
        <v>16</v>
      </c>
      <c r="G2" s="2" t="s">
        <v>17</v>
      </c>
      <c r="H2" s="2" t="s">
        <v>18</v>
      </c>
      <c r="I2" s="2" t="s">
        <v>19</v>
      </c>
      <c r="J2" s="2" t="s">
        <v>20</v>
      </c>
      <c r="K2" s="2" t="s">
        <v>21</v>
      </c>
      <c r="L2" s="2" t="s">
        <v>22</v>
      </c>
    </row>
    <row r="3" spans="1:13">
      <c r="A3" s="2">
        <v>2</v>
      </c>
      <c r="B3" s="2">
        <v>6</v>
      </c>
      <c r="C3" s="2" t="s">
        <v>23</v>
      </c>
      <c r="D3" s="2" t="s">
        <v>24</v>
      </c>
      <c r="E3" s="2" t="s">
        <v>25</v>
      </c>
      <c r="F3" s="2" t="s">
        <v>26</v>
      </c>
      <c r="G3" s="2" t="s">
        <v>27</v>
      </c>
      <c r="H3" s="2" t="s">
        <v>18</v>
      </c>
      <c r="J3" s="2" t="s">
        <v>28</v>
      </c>
      <c r="K3" s="2" t="s">
        <v>29</v>
      </c>
      <c r="L3" s="2" t="s">
        <v>30</v>
      </c>
    </row>
    <row r="4" spans="1:13">
      <c r="A4" s="2">
        <v>3</v>
      </c>
      <c r="B4" s="2">
        <v>7</v>
      </c>
      <c r="C4" s="2" t="s">
        <v>31</v>
      </c>
      <c r="D4" s="2" t="s">
        <v>32</v>
      </c>
      <c r="E4" s="2" t="s">
        <v>33</v>
      </c>
      <c r="F4" s="2" t="s">
        <v>34</v>
      </c>
      <c r="G4" s="2" t="s">
        <v>35</v>
      </c>
      <c r="H4" s="2" t="s">
        <v>18</v>
      </c>
      <c r="I4" s="2" t="s">
        <v>36</v>
      </c>
      <c r="J4" s="2" t="s">
        <v>37</v>
      </c>
      <c r="K4" s="2" t="s">
        <v>38</v>
      </c>
      <c r="L4" s="2" t="s">
        <v>39</v>
      </c>
    </row>
    <row r="5" spans="1:13">
      <c r="A5" s="2">
        <f t="shared" ref="A5:A259" si="0">A4+1</f>
        <v>4</v>
      </c>
      <c r="B5" s="2">
        <v>8</v>
      </c>
      <c r="C5" s="2" t="s">
        <v>40</v>
      </c>
      <c r="D5" s="2" t="s">
        <v>41</v>
      </c>
      <c r="E5" s="2" t="s">
        <v>42</v>
      </c>
      <c r="F5" s="2" t="s">
        <v>43</v>
      </c>
      <c r="G5" s="2" t="s">
        <v>44</v>
      </c>
      <c r="H5" s="2" t="s">
        <v>45</v>
      </c>
      <c r="I5" s="2" t="s">
        <v>46</v>
      </c>
      <c r="J5" s="2" t="s">
        <v>47</v>
      </c>
      <c r="K5" s="2" t="s">
        <v>48</v>
      </c>
      <c r="L5" s="2" t="s">
        <v>49</v>
      </c>
    </row>
    <row r="6" spans="1:13">
      <c r="A6" s="2">
        <f t="shared" si="0"/>
        <v>5</v>
      </c>
      <c r="B6" s="2">
        <v>9</v>
      </c>
      <c r="C6" s="2" t="s">
        <v>50</v>
      </c>
      <c r="D6" s="2" t="s">
        <v>51</v>
      </c>
      <c r="E6" s="2" t="s">
        <v>52</v>
      </c>
      <c r="F6" s="2" t="s">
        <v>53</v>
      </c>
      <c r="G6" s="2" t="s">
        <v>54</v>
      </c>
      <c r="H6" s="2" t="s">
        <v>45</v>
      </c>
      <c r="I6" s="2" t="s">
        <v>55</v>
      </c>
      <c r="J6" s="2" t="s">
        <v>56</v>
      </c>
      <c r="K6" s="2" t="s">
        <v>57</v>
      </c>
      <c r="L6" s="2" t="s">
        <v>58</v>
      </c>
    </row>
    <row r="7" spans="1:13">
      <c r="A7" s="2">
        <f t="shared" si="0"/>
        <v>6</v>
      </c>
      <c r="B7" s="2">
        <v>10</v>
      </c>
      <c r="C7" s="2" t="s">
        <v>59</v>
      </c>
      <c r="D7" s="2" t="s">
        <v>60</v>
      </c>
      <c r="E7" s="2" t="s">
        <v>61</v>
      </c>
      <c r="F7" s="2" t="s">
        <v>62</v>
      </c>
      <c r="G7" s="2" t="s">
        <v>63</v>
      </c>
      <c r="H7" s="2" t="s">
        <v>64</v>
      </c>
      <c r="I7" s="2" t="s">
        <v>65</v>
      </c>
      <c r="J7" s="2" t="s">
        <v>66</v>
      </c>
      <c r="K7" s="2" t="s">
        <v>67</v>
      </c>
      <c r="L7" s="2" t="s">
        <v>68</v>
      </c>
    </row>
    <row r="8" spans="1:13">
      <c r="A8" s="2">
        <f t="shared" si="0"/>
        <v>7</v>
      </c>
      <c r="B8" s="2">
        <v>11</v>
      </c>
      <c r="C8" s="2" t="s">
        <v>69</v>
      </c>
      <c r="D8" s="2" t="s">
        <v>70</v>
      </c>
      <c r="E8" s="2" t="s">
        <v>61</v>
      </c>
      <c r="F8" s="2" t="s">
        <v>71</v>
      </c>
      <c r="G8" s="2" t="s">
        <v>72</v>
      </c>
      <c r="H8" s="2" t="s">
        <v>64</v>
      </c>
      <c r="I8" s="2" t="s">
        <v>73</v>
      </c>
      <c r="J8" s="2" t="s">
        <v>74</v>
      </c>
      <c r="K8" s="2" t="s">
        <v>75</v>
      </c>
      <c r="L8" s="2" t="s">
        <v>76</v>
      </c>
    </row>
    <row r="9" spans="1:13">
      <c r="A9" s="2">
        <f t="shared" si="0"/>
        <v>8</v>
      </c>
      <c r="B9" s="2">
        <v>12</v>
      </c>
      <c r="C9" s="2" t="s">
        <v>77</v>
      </c>
      <c r="D9" s="2" t="s">
        <v>78</v>
      </c>
      <c r="E9" s="2" t="s">
        <v>79</v>
      </c>
      <c r="F9" s="2" t="s">
        <v>80</v>
      </c>
      <c r="G9" s="2" t="s">
        <v>81</v>
      </c>
      <c r="H9" s="2" t="s">
        <v>64</v>
      </c>
      <c r="I9" s="2" t="s">
        <v>82</v>
      </c>
      <c r="J9" s="2" t="s">
        <v>83</v>
      </c>
      <c r="K9" s="2" t="s">
        <v>84</v>
      </c>
      <c r="L9" s="2" t="s">
        <v>85</v>
      </c>
    </row>
    <row r="10" spans="1:13">
      <c r="A10" s="2">
        <f t="shared" si="0"/>
        <v>9</v>
      </c>
      <c r="B10" s="2">
        <v>13</v>
      </c>
      <c r="C10" s="2" t="s">
        <v>86</v>
      </c>
      <c r="D10" s="2" t="s">
        <v>87</v>
      </c>
      <c r="E10" s="2" t="s">
        <v>33</v>
      </c>
      <c r="F10" s="2" t="s">
        <v>88</v>
      </c>
      <c r="G10" s="2" t="s">
        <v>89</v>
      </c>
      <c r="H10" s="2" t="s">
        <v>18</v>
      </c>
      <c r="I10" s="2" t="s">
        <v>90</v>
      </c>
      <c r="J10" s="2" t="s">
        <v>91</v>
      </c>
      <c r="K10" s="2" t="s">
        <v>92</v>
      </c>
      <c r="L10" s="2" t="s">
        <v>93</v>
      </c>
    </row>
    <row r="11" spans="1:13">
      <c r="A11" s="2">
        <f t="shared" si="0"/>
        <v>10</v>
      </c>
      <c r="B11" s="2">
        <v>14</v>
      </c>
      <c r="C11" s="2" t="s">
        <v>94</v>
      </c>
      <c r="D11" s="2" t="s">
        <v>95</v>
      </c>
      <c r="E11" s="2" t="s">
        <v>52</v>
      </c>
      <c r="F11" s="2" t="s">
        <v>96</v>
      </c>
      <c r="G11" s="2" t="s">
        <v>97</v>
      </c>
      <c r="H11" s="2" t="s">
        <v>64</v>
      </c>
      <c r="I11" s="2" t="s">
        <v>98</v>
      </c>
      <c r="J11" s="2" t="s">
        <v>99</v>
      </c>
      <c r="K11" s="2" t="s">
        <v>100</v>
      </c>
      <c r="L11" s="2" t="s">
        <v>101</v>
      </c>
    </row>
    <row r="12" spans="1:13">
      <c r="A12" s="2">
        <f t="shared" si="0"/>
        <v>11</v>
      </c>
      <c r="B12" s="2">
        <v>15</v>
      </c>
      <c r="C12" s="2" t="s">
        <v>102</v>
      </c>
      <c r="D12" s="2" t="s">
        <v>103</v>
      </c>
      <c r="E12" s="2" t="s">
        <v>104</v>
      </c>
      <c r="F12" s="2" t="s">
        <v>105</v>
      </c>
      <c r="G12" s="2" t="s">
        <v>106</v>
      </c>
      <c r="H12" s="2" t="s">
        <v>64</v>
      </c>
      <c r="I12" s="2" t="s">
        <v>107</v>
      </c>
      <c r="J12" s="2" t="s">
        <v>108</v>
      </c>
      <c r="K12" s="2" t="s">
        <v>109</v>
      </c>
      <c r="L12" s="2" t="s">
        <v>110</v>
      </c>
    </row>
    <row r="13" spans="1:13">
      <c r="A13" s="2">
        <f t="shared" si="0"/>
        <v>12</v>
      </c>
      <c r="B13" s="2">
        <v>16</v>
      </c>
      <c r="C13" s="2" t="s">
        <v>111</v>
      </c>
      <c r="D13" s="2" t="s">
        <v>112</v>
      </c>
      <c r="E13" s="2" t="s">
        <v>113</v>
      </c>
      <c r="F13" s="2" t="s">
        <v>114</v>
      </c>
      <c r="G13" s="2" t="s">
        <v>115</v>
      </c>
      <c r="H13" s="2" t="s">
        <v>18</v>
      </c>
      <c r="I13" s="2" t="s">
        <v>116</v>
      </c>
      <c r="J13" s="2" t="s">
        <v>117</v>
      </c>
      <c r="K13" s="2" t="s">
        <v>118</v>
      </c>
      <c r="L13" s="2" t="s">
        <v>119</v>
      </c>
    </row>
    <row r="14" spans="1:13">
      <c r="A14" s="2">
        <f t="shared" si="0"/>
        <v>13</v>
      </c>
      <c r="B14" s="2">
        <v>17</v>
      </c>
      <c r="C14" s="2" t="s">
        <v>120</v>
      </c>
      <c r="D14" s="2" t="s">
        <v>121</v>
      </c>
      <c r="E14" s="2" t="s">
        <v>33</v>
      </c>
      <c r="F14" s="2" t="s">
        <v>122</v>
      </c>
      <c r="G14" s="2" t="s">
        <v>123</v>
      </c>
      <c r="H14" s="2" t="s">
        <v>64</v>
      </c>
      <c r="J14" s="2" t="s">
        <v>124</v>
      </c>
      <c r="K14" s="2" t="s">
        <v>125</v>
      </c>
      <c r="L14" s="2" t="s">
        <v>126</v>
      </c>
    </row>
    <row r="15" spans="1:13">
      <c r="A15" s="2">
        <f t="shared" si="0"/>
        <v>14</v>
      </c>
      <c r="B15" s="2">
        <v>18</v>
      </c>
      <c r="C15" s="2" t="s">
        <v>127</v>
      </c>
      <c r="D15" s="2" t="s">
        <v>128</v>
      </c>
      <c r="E15" s="2" t="s">
        <v>129</v>
      </c>
      <c r="F15" s="2" t="s">
        <v>130</v>
      </c>
      <c r="G15" s="2" t="s">
        <v>131</v>
      </c>
      <c r="H15" s="2" t="s">
        <v>64</v>
      </c>
      <c r="J15" s="2" t="s">
        <v>132</v>
      </c>
      <c r="K15" s="2" t="s">
        <v>133</v>
      </c>
      <c r="L15" s="2" t="s">
        <v>134</v>
      </c>
    </row>
    <row r="16" spans="1:13">
      <c r="A16" s="2">
        <f t="shared" si="0"/>
        <v>15</v>
      </c>
      <c r="B16" s="2">
        <v>19</v>
      </c>
      <c r="C16" s="2" t="s">
        <v>135</v>
      </c>
      <c r="D16" s="2" t="s">
        <v>136</v>
      </c>
      <c r="E16" s="2" t="s">
        <v>137</v>
      </c>
      <c r="F16" s="2" t="s">
        <v>138</v>
      </c>
      <c r="G16" s="2" t="s">
        <v>139</v>
      </c>
      <c r="H16" s="2" t="s">
        <v>64</v>
      </c>
      <c r="I16" s="2" t="s">
        <v>140</v>
      </c>
      <c r="J16" s="2" t="s">
        <v>141</v>
      </c>
      <c r="K16" s="2" t="s">
        <v>142</v>
      </c>
      <c r="L16" s="2" t="s">
        <v>143</v>
      </c>
    </row>
    <row r="17" spans="1:12">
      <c r="A17" s="2">
        <f t="shared" si="0"/>
        <v>16</v>
      </c>
      <c r="B17" s="2">
        <v>20</v>
      </c>
      <c r="C17" s="2" t="s">
        <v>144</v>
      </c>
      <c r="D17" s="2" t="s">
        <v>145</v>
      </c>
      <c r="E17" s="2" t="s">
        <v>61</v>
      </c>
      <c r="F17" s="2" t="s">
        <v>146</v>
      </c>
      <c r="G17" s="2" t="s">
        <v>147</v>
      </c>
      <c r="H17" s="2" t="s">
        <v>64</v>
      </c>
      <c r="I17" s="2" t="s">
        <v>148</v>
      </c>
      <c r="J17" s="2" t="s">
        <v>149</v>
      </c>
      <c r="K17" s="2" t="s">
        <v>150</v>
      </c>
      <c r="L17" s="2" t="s">
        <v>151</v>
      </c>
    </row>
    <row r="18" spans="1:12">
      <c r="A18" s="2">
        <f t="shared" si="0"/>
        <v>17</v>
      </c>
      <c r="B18" s="2">
        <v>21</v>
      </c>
      <c r="C18" s="2" t="s">
        <v>152</v>
      </c>
      <c r="D18" s="2" t="s">
        <v>153</v>
      </c>
      <c r="E18" s="2" t="s">
        <v>129</v>
      </c>
      <c r="F18" s="2" t="s">
        <v>154</v>
      </c>
      <c r="G18" s="2" t="s">
        <v>155</v>
      </c>
      <c r="H18" s="2" t="s">
        <v>64</v>
      </c>
      <c r="I18" s="2" t="s">
        <v>156</v>
      </c>
      <c r="J18" s="2" t="s">
        <v>157</v>
      </c>
      <c r="K18" s="2" t="s">
        <v>158</v>
      </c>
      <c r="L18" s="2" t="s">
        <v>159</v>
      </c>
    </row>
    <row r="19" spans="1:12">
      <c r="A19" s="2">
        <f t="shared" si="0"/>
        <v>18</v>
      </c>
      <c r="B19" s="2">
        <v>22</v>
      </c>
      <c r="C19" s="2" t="s">
        <v>160</v>
      </c>
      <c r="D19" s="2" t="s">
        <v>161</v>
      </c>
      <c r="E19" s="2" t="s">
        <v>162</v>
      </c>
      <c r="F19" s="2" t="s">
        <v>163</v>
      </c>
      <c r="G19" s="2" t="s">
        <v>164</v>
      </c>
      <c r="H19" s="2" t="s">
        <v>64</v>
      </c>
      <c r="I19" s="2" t="s">
        <v>165</v>
      </c>
      <c r="J19" s="2" t="s">
        <v>166</v>
      </c>
      <c r="K19" s="2" t="s">
        <v>167</v>
      </c>
      <c r="L19" s="2" t="s">
        <v>168</v>
      </c>
    </row>
    <row r="20" spans="1:12">
      <c r="A20" s="2">
        <f t="shared" si="0"/>
        <v>19</v>
      </c>
      <c r="B20" s="2">
        <v>23</v>
      </c>
      <c r="C20" s="2" t="s">
        <v>169</v>
      </c>
      <c r="D20" s="2" t="s">
        <v>170</v>
      </c>
      <c r="E20" s="2" t="s">
        <v>171</v>
      </c>
      <c r="F20" s="2" t="s">
        <v>172</v>
      </c>
      <c r="G20" s="2" t="s">
        <v>173</v>
      </c>
      <c r="H20" s="2" t="s">
        <v>64</v>
      </c>
      <c r="J20" s="2" t="s">
        <v>174</v>
      </c>
      <c r="K20" s="2" t="s">
        <v>175</v>
      </c>
      <c r="L20" s="2" t="s">
        <v>176</v>
      </c>
    </row>
    <row r="21" spans="1:12" ht="15.75" customHeight="1">
      <c r="A21" s="2">
        <f t="shared" si="0"/>
        <v>20</v>
      </c>
      <c r="B21" s="2">
        <v>24</v>
      </c>
      <c r="C21" s="2" t="s">
        <v>177</v>
      </c>
      <c r="D21" s="2" t="s">
        <v>178</v>
      </c>
      <c r="E21" s="2" t="s">
        <v>179</v>
      </c>
      <c r="F21" s="2" t="s">
        <v>180</v>
      </c>
      <c r="G21" s="2" t="s">
        <v>181</v>
      </c>
      <c r="H21" s="2" t="s">
        <v>64</v>
      </c>
      <c r="I21" s="2" t="s">
        <v>182</v>
      </c>
      <c r="J21" s="2" t="s">
        <v>183</v>
      </c>
      <c r="K21" s="2" t="s">
        <v>184</v>
      </c>
      <c r="L21" s="2" t="s">
        <v>185</v>
      </c>
    </row>
    <row r="22" spans="1:12" ht="15.75" customHeight="1">
      <c r="A22" s="2">
        <f t="shared" si="0"/>
        <v>21</v>
      </c>
      <c r="B22" s="2">
        <v>25</v>
      </c>
      <c r="C22" s="2" t="s">
        <v>186</v>
      </c>
      <c r="D22" s="2" t="s">
        <v>187</v>
      </c>
      <c r="E22" s="2" t="s">
        <v>129</v>
      </c>
      <c r="F22" s="2" t="s">
        <v>188</v>
      </c>
      <c r="G22" s="2" t="s">
        <v>189</v>
      </c>
      <c r="H22" s="2" t="s">
        <v>64</v>
      </c>
      <c r="I22" s="2" t="s">
        <v>190</v>
      </c>
      <c r="J22" s="2" t="s">
        <v>191</v>
      </c>
      <c r="K22" s="2" t="s">
        <v>192</v>
      </c>
      <c r="L22" s="2" t="s">
        <v>193</v>
      </c>
    </row>
    <row r="23" spans="1:12" ht="15.75" customHeight="1">
      <c r="A23" s="2">
        <f t="shared" si="0"/>
        <v>22</v>
      </c>
      <c r="B23" s="2">
        <v>26</v>
      </c>
      <c r="C23" s="2" t="s">
        <v>194</v>
      </c>
      <c r="D23" s="2" t="s">
        <v>195</v>
      </c>
      <c r="E23" s="2" t="s">
        <v>113</v>
      </c>
      <c r="F23" s="2" t="s">
        <v>196</v>
      </c>
      <c r="G23" s="2" t="s">
        <v>197</v>
      </c>
      <c r="H23" s="2" t="s">
        <v>64</v>
      </c>
      <c r="I23" s="2" t="s">
        <v>198</v>
      </c>
      <c r="J23" s="2" t="s">
        <v>199</v>
      </c>
      <c r="K23" s="2" t="s">
        <v>200</v>
      </c>
      <c r="L23" s="2" t="s">
        <v>201</v>
      </c>
    </row>
    <row r="24" spans="1:12" ht="15.75" customHeight="1">
      <c r="A24" s="2">
        <f t="shared" si="0"/>
        <v>23</v>
      </c>
      <c r="B24" s="2">
        <v>27</v>
      </c>
      <c r="C24" s="2" t="s">
        <v>202</v>
      </c>
      <c r="D24" s="2" t="s">
        <v>203</v>
      </c>
      <c r="E24" s="2" t="s">
        <v>42</v>
      </c>
      <c r="F24" s="2" t="s">
        <v>204</v>
      </c>
      <c r="G24" s="2" t="s">
        <v>205</v>
      </c>
      <c r="H24" s="2" t="s">
        <v>64</v>
      </c>
      <c r="J24" s="2" t="s">
        <v>206</v>
      </c>
      <c r="K24" s="2" t="s">
        <v>207</v>
      </c>
      <c r="L24" s="2" t="s">
        <v>208</v>
      </c>
    </row>
    <row r="25" spans="1:12" ht="15.75" customHeight="1">
      <c r="A25" s="2">
        <f t="shared" si="0"/>
        <v>24</v>
      </c>
      <c r="B25" s="2">
        <v>28</v>
      </c>
      <c r="C25" s="2" t="s">
        <v>209</v>
      </c>
      <c r="D25" s="2" t="s">
        <v>210</v>
      </c>
      <c r="E25" s="2" t="s">
        <v>52</v>
      </c>
      <c r="F25" s="2" t="s">
        <v>211</v>
      </c>
      <c r="G25" s="2" t="s">
        <v>212</v>
      </c>
      <c r="H25" s="2" t="s">
        <v>64</v>
      </c>
      <c r="I25" s="2" t="s">
        <v>213</v>
      </c>
      <c r="J25" s="2" t="s">
        <v>214</v>
      </c>
      <c r="K25" s="2" t="s">
        <v>215</v>
      </c>
      <c r="L25" s="2" t="s">
        <v>216</v>
      </c>
    </row>
    <row r="26" spans="1:12" ht="15.75" customHeight="1">
      <c r="A26" s="2">
        <f t="shared" si="0"/>
        <v>25</v>
      </c>
      <c r="B26" s="2">
        <v>29</v>
      </c>
      <c r="C26" s="2" t="s">
        <v>217</v>
      </c>
      <c r="D26" s="2" t="s">
        <v>218</v>
      </c>
      <c r="E26" s="2" t="s">
        <v>25</v>
      </c>
      <c r="F26" s="2" t="s">
        <v>219</v>
      </c>
      <c r="G26" s="2" t="s">
        <v>220</v>
      </c>
      <c r="H26" s="2" t="s">
        <v>64</v>
      </c>
      <c r="I26" s="2" t="s">
        <v>221</v>
      </c>
      <c r="J26" s="2" t="s">
        <v>222</v>
      </c>
      <c r="K26" s="2" t="s">
        <v>223</v>
      </c>
      <c r="L26" s="2" t="s">
        <v>224</v>
      </c>
    </row>
    <row r="27" spans="1:12" ht="15.75" customHeight="1">
      <c r="A27" s="2">
        <f t="shared" si="0"/>
        <v>26</v>
      </c>
      <c r="B27" s="2">
        <v>30</v>
      </c>
      <c r="C27" s="2" t="s">
        <v>225</v>
      </c>
      <c r="D27" s="2" t="s">
        <v>226</v>
      </c>
      <c r="E27" s="2" t="s">
        <v>227</v>
      </c>
      <c r="F27" s="2" t="s">
        <v>228</v>
      </c>
      <c r="G27" s="2" t="s">
        <v>229</v>
      </c>
      <c r="H27" s="2" t="s">
        <v>64</v>
      </c>
      <c r="J27" s="2" t="s">
        <v>230</v>
      </c>
      <c r="K27" s="2" t="s">
        <v>231</v>
      </c>
      <c r="L27" s="2" t="s">
        <v>232</v>
      </c>
    </row>
    <row r="28" spans="1:12" ht="15.75" customHeight="1">
      <c r="A28" s="2">
        <f t="shared" si="0"/>
        <v>27</v>
      </c>
      <c r="B28" s="2">
        <v>31</v>
      </c>
      <c r="C28" s="2" t="s">
        <v>233</v>
      </c>
      <c r="D28" s="2" t="s">
        <v>234</v>
      </c>
      <c r="E28" s="2" t="s">
        <v>235</v>
      </c>
      <c r="F28" s="2" t="s">
        <v>236</v>
      </c>
      <c r="G28" s="2" t="s">
        <v>237</v>
      </c>
      <c r="H28" s="2" t="s">
        <v>64</v>
      </c>
      <c r="I28" s="2" t="s">
        <v>238</v>
      </c>
      <c r="J28" s="2" t="s">
        <v>239</v>
      </c>
      <c r="K28" s="2" t="s">
        <v>240</v>
      </c>
      <c r="L28" s="2" t="s">
        <v>241</v>
      </c>
    </row>
    <row r="29" spans="1:12" ht="15.75" customHeight="1">
      <c r="A29" s="2">
        <f t="shared" si="0"/>
        <v>28</v>
      </c>
      <c r="B29" s="2">
        <v>32</v>
      </c>
      <c r="C29" s="2" t="s">
        <v>242</v>
      </c>
      <c r="D29" s="2" t="s">
        <v>243</v>
      </c>
      <c r="E29" s="2" t="s">
        <v>79</v>
      </c>
      <c r="F29" s="2" t="s">
        <v>244</v>
      </c>
      <c r="G29" s="2" t="s">
        <v>245</v>
      </c>
      <c r="H29" s="2" t="s">
        <v>64</v>
      </c>
      <c r="J29" s="2" t="s">
        <v>246</v>
      </c>
      <c r="K29" s="2" t="s">
        <v>247</v>
      </c>
      <c r="L29" s="2" t="s">
        <v>248</v>
      </c>
    </row>
    <row r="30" spans="1:12" ht="15.75" customHeight="1">
      <c r="A30" s="2">
        <f t="shared" si="0"/>
        <v>29</v>
      </c>
      <c r="B30" s="2">
        <v>33</v>
      </c>
      <c r="C30" s="2" t="s">
        <v>249</v>
      </c>
      <c r="D30" s="2" t="s">
        <v>250</v>
      </c>
      <c r="E30" s="2" t="s">
        <v>113</v>
      </c>
      <c r="F30" s="2" t="s">
        <v>251</v>
      </c>
      <c r="G30" s="2" t="s">
        <v>252</v>
      </c>
      <c r="H30" s="2" t="s">
        <v>18</v>
      </c>
      <c r="J30" s="2" t="s">
        <v>253</v>
      </c>
      <c r="K30" s="2" t="s">
        <v>254</v>
      </c>
      <c r="L30" s="2" t="s">
        <v>255</v>
      </c>
    </row>
    <row r="31" spans="1:12" ht="15.75" customHeight="1">
      <c r="A31" s="2">
        <f t="shared" si="0"/>
        <v>30</v>
      </c>
      <c r="B31" s="2">
        <v>34</v>
      </c>
      <c r="C31" s="2" t="s">
        <v>256</v>
      </c>
      <c r="D31" s="2" t="s">
        <v>257</v>
      </c>
      <c r="E31" s="2" t="s">
        <v>179</v>
      </c>
      <c r="F31" s="2" t="s">
        <v>258</v>
      </c>
      <c r="G31" s="2" t="s">
        <v>259</v>
      </c>
      <c r="H31" s="2" t="s">
        <v>64</v>
      </c>
      <c r="I31" s="2" t="s">
        <v>260</v>
      </c>
      <c r="J31" s="2" t="s">
        <v>261</v>
      </c>
      <c r="K31" s="2" t="s">
        <v>262</v>
      </c>
      <c r="L31" s="2" t="s">
        <v>263</v>
      </c>
    </row>
    <row r="32" spans="1:12" ht="15.75" customHeight="1">
      <c r="A32" s="2">
        <f t="shared" si="0"/>
        <v>31</v>
      </c>
      <c r="B32" s="2">
        <v>35</v>
      </c>
      <c r="C32" s="2" t="s">
        <v>264</v>
      </c>
      <c r="D32" s="2" t="s">
        <v>265</v>
      </c>
      <c r="E32" s="2" t="s">
        <v>33</v>
      </c>
      <c r="F32" s="2" t="s">
        <v>266</v>
      </c>
      <c r="G32" s="2" t="s">
        <v>267</v>
      </c>
      <c r="H32" s="2" t="s">
        <v>64</v>
      </c>
      <c r="I32" s="2" t="s">
        <v>268</v>
      </c>
      <c r="J32" s="2" t="s">
        <v>269</v>
      </c>
      <c r="K32" s="2" t="s">
        <v>270</v>
      </c>
      <c r="L32" s="2" t="s">
        <v>271</v>
      </c>
    </row>
    <row r="33" spans="1:12" ht="15.75" customHeight="1">
      <c r="A33" s="2">
        <f t="shared" si="0"/>
        <v>32</v>
      </c>
      <c r="B33" s="2">
        <v>36</v>
      </c>
      <c r="C33" s="2" t="s">
        <v>272</v>
      </c>
      <c r="D33" s="2" t="s">
        <v>273</v>
      </c>
      <c r="E33" s="2" t="s">
        <v>274</v>
      </c>
      <c r="F33" s="2" t="s">
        <v>275</v>
      </c>
      <c r="G33" s="2" t="s">
        <v>276</v>
      </c>
      <c r="H33" s="2" t="s">
        <v>64</v>
      </c>
      <c r="J33" s="2" t="s">
        <v>277</v>
      </c>
      <c r="K33" s="2" t="s">
        <v>278</v>
      </c>
      <c r="L33" s="2" t="s">
        <v>279</v>
      </c>
    </row>
    <row r="34" spans="1:12" ht="15.75" customHeight="1">
      <c r="A34" s="2">
        <f t="shared" si="0"/>
        <v>33</v>
      </c>
      <c r="B34" s="2">
        <v>37</v>
      </c>
      <c r="C34" s="2" t="s">
        <v>280</v>
      </c>
      <c r="D34" s="2" t="s">
        <v>281</v>
      </c>
      <c r="E34" s="2" t="s">
        <v>282</v>
      </c>
      <c r="F34" s="2" t="s">
        <v>283</v>
      </c>
      <c r="G34" s="2" t="s">
        <v>284</v>
      </c>
      <c r="H34" s="2" t="s">
        <v>45</v>
      </c>
      <c r="I34" s="2" t="s">
        <v>285</v>
      </c>
      <c r="J34" s="2" t="s">
        <v>286</v>
      </c>
      <c r="K34" s="2" t="s">
        <v>287</v>
      </c>
      <c r="L34" s="2" t="s">
        <v>288</v>
      </c>
    </row>
    <row r="35" spans="1:12" ht="15.75" customHeight="1">
      <c r="A35" s="2">
        <f t="shared" si="0"/>
        <v>34</v>
      </c>
      <c r="B35" s="2">
        <v>38</v>
      </c>
      <c r="C35" s="2" t="s">
        <v>289</v>
      </c>
      <c r="D35" s="2" t="s">
        <v>290</v>
      </c>
      <c r="E35" s="2" t="s">
        <v>235</v>
      </c>
      <c r="F35" s="2" t="s">
        <v>291</v>
      </c>
      <c r="G35" s="2" t="s">
        <v>292</v>
      </c>
      <c r="H35" s="2" t="s">
        <v>18</v>
      </c>
      <c r="J35" s="2" t="s">
        <v>277</v>
      </c>
      <c r="K35" s="2" t="s">
        <v>293</v>
      </c>
      <c r="L35" s="2" t="s">
        <v>294</v>
      </c>
    </row>
    <row r="36" spans="1:12" ht="15.75" customHeight="1">
      <c r="A36" s="2">
        <f t="shared" si="0"/>
        <v>35</v>
      </c>
      <c r="B36" s="2">
        <v>39</v>
      </c>
      <c r="C36" s="2" t="s">
        <v>295</v>
      </c>
      <c r="D36" s="2" t="s">
        <v>296</v>
      </c>
      <c r="E36" s="2" t="s">
        <v>25</v>
      </c>
      <c r="F36" s="2" t="s">
        <v>297</v>
      </c>
      <c r="G36" s="2" t="s">
        <v>298</v>
      </c>
      <c r="H36" s="2" t="s">
        <v>18</v>
      </c>
      <c r="I36" s="2" t="s">
        <v>299</v>
      </c>
      <c r="J36" s="2" t="s">
        <v>300</v>
      </c>
      <c r="K36" s="2" t="s">
        <v>301</v>
      </c>
      <c r="L36" s="2" t="s">
        <v>302</v>
      </c>
    </row>
    <row r="37" spans="1:12" ht="15.75" customHeight="1">
      <c r="A37" s="2">
        <f t="shared" si="0"/>
        <v>36</v>
      </c>
      <c r="B37" s="2">
        <v>40</v>
      </c>
      <c r="C37" s="2" t="s">
        <v>303</v>
      </c>
      <c r="D37" s="2" t="s">
        <v>304</v>
      </c>
      <c r="E37" s="2" t="s">
        <v>305</v>
      </c>
      <c r="F37" s="2" t="s">
        <v>306</v>
      </c>
      <c r="G37" s="2" t="s">
        <v>307</v>
      </c>
      <c r="H37" s="2" t="s">
        <v>18</v>
      </c>
      <c r="I37" s="2" t="s">
        <v>308</v>
      </c>
      <c r="J37" s="2" t="s">
        <v>309</v>
      </c>
      <c r="K37" s="2" t="s">
        <v>310</v>
      </c>
      <c r="L37" s="2" t="s">
        <v>311</v>
      </c>
    </row>
    <row r="38" spans="1:12" ht="15.75" customHeight="1">
      <c r="A38" s="2">
        <f t="shared" si="0"/>
        <v>37</v>
      </c>
      <c r="B38" s="2">
        <v>41</v>
      </c>
      <c r="C38" s="2" t="s">
        <v>312</v>
      </c>
      <c r="D38" s="2" t="s">
        <v>313</v>
      </c>
      <c r="E38" s="2" t="s">
        <v>305</v>
      </c>
      <c r="F38" s="2" t="s">
        <v>314</v>
      </c>
      <c r="G38" s="2" t="s">
        <v>315</v>
      </c>
      <c r="H38" s="2" t="s">
        <v>18</v>
      </c>
      <c r="J38" s="2" t="s">
        <v>316</v>
      </c>
      <c r="K38" s="2" t="s">
        <v>317</v>
      </c>
      <c r="L38" s="2" t="s">
        <v>318</v>
      </c>
    </row>
    <row r="39" spans="1:12" ht="15.75" customHeight="1">
      <c r="A39" s="2">
        <f t="shared" si="0"/>
        <v>38</v>
      </c>
      <c r="B39" s="2">
        <v>42</v>
      </c>
      <c r="C39" s="2" t="s">
        <v>319</v>
      </c>
      <c r="D39" s="2" t="s">
        <v>320</v>
      </c>
      <c r="E39" s="2" t="s">
        <v>113</v>
      </c>
      <c r="F39" s="2" t="s">
        <v>321</v>
      </c>
      <c r="G39" s="2" t="s">
        <v>322</v>
      </c>
      <c r="H39" s="2" t="s">
        <v>64</v>
      </c>
      <c r="J39" s="2" t="s">
        <v>323</v>
      </c>
      <c r="K39" s="2" t="s">
        <v>324</v>
      </c>
      <c r="L39" s="2" t="s">
        <v>325</v>
      </c>
    </row>
    <row r="40" spans="1:12" ht="15.75" customHeight="1">
      <c r="A40" s="2">
        <f t="shared" si="0"/>
        <v>39</v>
      </c>
      <c r="B40" s="2">
        <v>43</v>
      </c>
      <c r="C40" s="2" t="s">
        <v>326</v>
      </c>
      <c r="D40" s="2" t="s">
        <v>327</v>
      </c>
      <c r="E40" s="2" t="s">
        <v>52</v>
      </c>
      <c r="F40" s="2" t="s">
        <v>328</v>
      </c>
      <c r="G40" s="2" t="s">
        <v>329</v>
      </c>
      <c r="H40" s="2" t="s">
        <v>64</v>
      </c>
      <c r="J40" s="2" t="s">
        <v>330</v>
      </c>
      <c r="K40" s="2" t="s">
        <v>331</v>
      </c>
      <c r="L40" s="2" t="s">
        <v>332</v>
      </c>
    </row>
    <row r="41" spans="1:12" ht="15.75" customHeight="1">
      <c r="A41" s="2">
        <f t="shared" si="0"/>
        <v>40</v>
      </c>
      <c r="B41" s="2">
        <v>44</v>
      </c>
      <c r="C41" s="2" t="s">
        <v>333</v>
      </c>
      <c r="D41" s="2" t="s">
        <v>334</v>
      </c>
      <c r="E41" s="2" t="s">
        <v>113</v>
      </c>
      <c r="F41" s="2" t="s">
        <v>335</v>
      </c>
      <c r="G41" s="2" t="s">
        <v>336</v>
      </c>
      <c r="H41" s="2" t="s">
        <v>18</v>
      </c>
      <c r="I41" s="2" t="s">
        <v>337</v>
      </c>
      <c r="J41" s="2" t="s">
        <v>338</v>
      </c>
      <c r="K41" s="2" t="s">
        <v>339</v>
      </c>
      <c r="L41" s="2" t="s">
        <v>340</v>
      </c>
    </row>
    <row r="42" spans="1:12" ht="15.75" customHeight="1">
      <c r="A42" s="2">
        <f t="shared" si="0"/>
        <v>41</v>
      </c>
      <c r="B42" s="2">
        <v>45</v>
      </c>
      <c r="C42" s="2" t="s">
        <v>341</v>
      </c>
      <c r="D42" s="2" t="s">
        <v>342</v>
      </c>
      <c r="E42" s="2" t="s">
        <v>343</v>
      </c>
      <c r="F42" s="2" t="s">
        <v>344</v>
      </c>
      <c r="G42" s="2" t="s">
        <v>345</v>
      </c>
      <c r="H42" s="2" t="s">
        <v>64</v>
      </c>
      <c r="J42" s="2" t="s">
        <v>277</v>
      </c>
      <c r="K42" s="2" t="s">
        <v>346</v>
      </c>
      <c r="L42" s="2" t="s">
        <v>347</v>
      </c>
    </row>
    <row r="43" spans="1:12" ht="15.75" customHeight="1">
      <c r="A43" s="2">
        <f t="shared" si="0"/>
        <v>42</v>
      </c>
      <c r="B43" s="2">
        <v>46</v>
      </c>
      <c r="C43" s="2" t="s">
        <v>348</v>
      </c>
      <c r="D43" s="2" t="s">
        <v>349</v>
      </c>
      <c r="E43" s="2" t="s">
        <v>235</v>
      </c>
      <c r="F43" s="2" t="s">
        <v>350</v>
      </c>
      <c r="G43" s="2" t="s">
        <v>351</v>
      </c>
      <c r="H43" s="2" t="s">
        <v>18</v>
      </c>
      <c r="I43" s="2" t="s">
        <v>352</v>
      </c>
      <c r="J43" s="2" t="s">
        <v>353</v>
      </c>
      <c r="K43" s="2" t="s">
        <v>354</v>
      </c>
      <c r="L43" s="2" t="s">
        <v>355</v>
      </c>
    </row>
    <row r="44" spans="1:12" ht="15.75" customHeight="1">
      <c r="A44" s="2">
        <f t="shared" si="0"/>
        <v>43</v>
      </c>
      <c r="B44" s="2">
        <v>47</v>
      </c>
      <c r="C44" s="2" t="s">
        <v>356</v>
      </c>
      <c r="D44" s="2" t="s">
        <v>357</v>
      </c>
      <c r="E44" s="2" t="s">
        <v>33</v>
      </c>
      <c r="F44" s="2" t="s">
        <v>358</v>
      </c>
      <c r="G44" s="2" t="s">
        <v>359</v>
      </c>
      <c r="H44" s="2" t="s">
        <v>18</v>
      </c>
      <c r="I44" s="2" t="s">
        <v>360</v>
      </c>
      <c r="J44" s="2" t="s">
        <v>361</v>
      </c>
      <c r="K44" s="2" t="s">
        <v>362</v>
      </c>
      <c r="L44" s="2" t="s">
        <v>363</v>
      </c>
    </row>
    <row r="45" spans="1:12" ht="15.75" customHeight="1">
      <c r="A45" s="2">
        <f t="shared" si="0"/>
        <v>44</v>
      </c>
      <c r="B45" s="2">
        <v>48</v>
      </c>
      <c r="C45" s="2" t="s">
        <v>364</v>
      </c>
      <c r="D45" s="2" t="s">
        <v>365</v>
      </c>
      <c r="E45" s="2" t="s">
        <v>113</v>
      </c>
      <c r="F45" s="2" t="s">
        <v>366</v>
      </c>
      <c r="G45" s="2" t="s">
        <v>367</v>
      </c>
      <c r="H45" s="2" t="s">
        <v>18</v>
      </c>
      <c r="J45" s="2" t="s">
        <v>368</v>
      </c>
      <c r="K45" s="2" t="s">
        <v>369</v>
      </c>
      <c r="L45" s="2" t="s">
        <v>370</v>
      </c>
    </row>
    <row r="46" spans="1:12" ht="15.75" customHeight="1">
      <c r="A46" s="2">
        <f t="shared" si="0"/>
        <v>45</v>
      </c>
      <c r="B46" s="2">
        <v>49</v>
      </c>
      <c r="C46" s="2" t="s">
        <v>371</v>
      </c>
      <c r="D46" s="2" t="s">
        <v>372</v>
      </c>
      <c r="E46" s="2" t="s">
        <v>373</v>
      </c>
      <c r="F46" s="2" t="s">
        <v>374</v>
      </c>
      <c r="G46" s="2" t="s">
        <v>375</v>
      </c>
      <c r="H46" s="2" t="s">
        <v>64</v>
      </c>
      <c r="I46" s="2" t="s">
        <v>376</v>
      </c>
      <c r="J46" s="2" t="s">
        <v>377</v>
      </c>
      <c r="K46" s="2" t="s">
        <v>378</v>
      </c>
      <c r="L46" s="2" t="s">
        <v>379</v>
      </c>
    </row>
    <row r="47" spans="1:12" ht="15.75" customHeight="1">
      <c r="A47" s="2">
        <f t="shared" si="0"/>
        <v>46</v>
      </c>
      <c r="B47" s="2">
        <v>50</v>
      </c>
      <c r="C47" s="2" t="s">
        <v>380</v>
      </c>
      <c r="D47" s="2" t="s">
        <v>381</v>
      </c>
      <c r="E47" s="2" t="s">
        <v>52</v>
      </c>
      <c r="F47" s="2" t="s">
        <v>382</v>
      </c>
      <c r="G47" s="2" t="s">
        <v>383</v>
      </c>
      <c r="H47" s="2" t="s">
        <v>64</v>
      </c>
      <c r="I47" s="2" t="s">
        <v>384</v>
      </c>
      <c r="J47" s="2" t="s">
        <v>385</v>
      </c>
      <c r="K47" s="2" t="s">
        <v>386</v>
      </c>
      <c r="L47" s="2" t="s">
        <v>387</v>
      </c>
    </row>
    <row r="48" spans="1:12" ht="15.75" customHeight="1">
      <c r="A48" s="2">
        <f t="shared" si="0"/>
        <v>47</v>
      </c>
      <c r="B48" s="2">
        <v>51</v>
      </c>
      <c r="C48" s="2" t="s">
        <v>388</v>
      </c>
      <c r="E48" s="2" t="s">
        <v>42</v>
      </c>
      <c r="F48" s="2" t="s">
        <v>389</v>
      </c>
      <c r="G48" s="2" t="s">
        <v>390</v>
      </c>
      <c r="H48" s="2" t="s">
        <v>18</v>
      </c>
      <c r="I48" s="2" t="s">
        <v>391</v>
      </c>
      <c r="J48" s="2" t="s">
        <v>392</v>
      </c>
      <c r="K48" s="2" t="s">
        <v>386</v>
      </c>
      <c r="L48" s="2" t="s">
        <v>393</v>
      </c>
    </row>
    <row r="49" spans="1:12" ht="15.75" customHeight="1">
      <c r="A49" s="2">
        <f t="shared" si="0"/>
        <v>48</v>
      </c>
      <c r="B49" s="2">
        <v>52</v>
      </c>
      <c r="C49" s="2" t="s">
        <v>394</v>
      </c>
      <c r="D49" s="2" t="s">
        <v>395</v>
      </c>
      <c r="E49" s="2" t="s">
        <v>137</v>
      </c>
      <c r="F49" s="2" t="s">
        <v>396</v>
      </c>
      <c r="G49" s="2" t="s">
        <v>397</v>
      </c>
      <c r="H49" s="2" t="s">
        <v>64</v>
      </c>
      <c r="I49" s="2" t="s">
        <v>398</v>
      </c>
      <c r="J49" s="2" t="s">
        <v>399</v>
      </c>
      <c r="K49" s="2" t="s">
        <v>400</v>
      </c>
      <c r="L49" s="2" t="s">
        <v>387</v>
      </c>
    </row>
    <row r="50" spans="1:12" ht="15.75" customHeight="1">
      <c r="A50" s="2">
        <f t="shared" si="0"/>
        <v>49</v>
      </c>
      <c r="B50" s="2">
        <v>53</v>
      </c>
      <c r="C50" s="2" t="s">
        <v>401</v>
      </c>
      <c r="D50" s="2" t="s">
        <v>402</v>
      </c>
      <c r="E50" s="2" t="s">
        <v>227</v>
      </c>
      <c r="F50" s="2" t="s">
        <v>403</v>
      </c>
      <c r="G50" s="2" t="s">
        <v>404</v>
      </c>
      <c r="H50" s="2" t="s">
        <v>64</v>
      </c>
      <c r="I50" s="2" t="s">
        <v>405</v>
      </c>
      <c r="J50" s="2" t="s">
        <v>406</v>
      </c>
      <c r="K50" s="2" t="s">
        <v>407</v>
      </c>
      <c r="L50" s="2" t="s">
        <v>408</v>
      </c>
    </row>
    <row r="51" spans="1:12" ht="15.75" customHeight="1">
      <c r="A51" s="2">
        <f t="shared" si="0"/>
        <v>50</v>
      </c>
      <c r="B51" s="2">
        <v>54</v>
      </c>
      <c r="C51" s="2" t="s">
        <v>409</v>
      </c>
      <c r="D51" s="2" t="s">
        <v>410</v>
      </c>
      <c r="E51" s="2" t="s">
        <v>179</v>
      </c>
      <c r="F51" s="2" t="s">
        <v>411</v>
      </c>
      <c r="G51" s="2" t="s">
        <v>412</v>
      </c>
      <c r="H51" s="2" t="s">
        <v>64</v>
      </c>
      <c r="I51" s="2" t="s">
        <v>413</v>
      </c>
      <c r="J51" s="2" t="s">
        <v>414</v>
      </c>
      <c r="K51" s="2" t="s">
        <v>415</v>
      </c>
      <c r="L51" s="2" t="s">
        <v>416</v>
      </c>
    </row>
    <row r="52" spans="1:12" ht="15.75" customHeight="1">
      <c r="A52" s="2">
        <f t="shared" si="0"/>
        <v>51</v>
      </c>
      <c r="B52" s="2">
        <v>55</v>
      </c>
      <c r="C52" s="2" t="s">
        <v>417</v>
      </c>
      <c r="D52" s="2" t="s">
        <v>418</v>
      </c>
      <c r="E52" s="2" t="s">
        <v>79</v>
      </c>
      <c r="F52" s="2" t="s">
        <v>419</v>
      </c>
      <c r="G52" s="2" t="s">
        <v>420</v>
      </c>
      <c r="H52" s="2" t="s">
        <v>64</v>
      </c>
      <c r="I52" s="2" t="s">
        <v>421</v>
      </c>
      <c r="J52" s="2" t="s">
        <v>422</v>
      </c>
      <c r="K52" s="2" t="s">
        <v>423</v>
      </c>
      <c r="L52" s="2" t="s">
        <v>424</v>
      </c>
    </row>
    <row r="53" spans="1:12" ht="15.75" customHeight="1">
      <c r="A53" s="2">
        <f t="shared" si="0"/>
        <v>52</v>
      </c>
      <c r="B53" s="2">
        <v>56</v>
      </c>
      <c r="C53" s="2" t="s">
        <v>425</v>
      </c>
      <c r="D53" s="2" t="s">
        <v>426</v>
      </c>
      <c r="E53" s="2" t="s">
        <v>305</v>
      </c>
      <c r="F53" s="2" t="s">
        <v>427</v>
      </c>
      <c r="G53" s="2" t="s">
        <v>428</v>
      </c>
      <c r="H53" s="2" t="s">
        <v>18</v>
      </c>
      <c r="J53" s="2" t="s">
        <v>429</v>
      </c>
      <c r="K53" s="2" t="s">
        <v>430</v>
      </c>
      <c r="L53" s="2" t="s">
        <v>431</v>
      </c>
    </row>
    <row r="54" spans="1:12" ht="15.75" customHeight="1">
      <c r="A54" s="2">
        <f t="shared" si="0"/>
        <v>53</v>
      </c>
      <c r="B54" s="2">
        <v>57</v>
      </c>
      <c r="C54" s="2" t="s">
        <v>432</v>
      </c>
      <c r="D54" s="2" t="s">
        <v>433</v>
      </c>
      <c r="E54" s="2" t="s">
        <v>113</v>
      </c>
      <c r="F54" s="2" t="s">
        <v>434</v>
      </c>
      <c r="G54" s="2" t="s">
        <v>435</v>
      </c>
      <c r="H54" s="2" t="s">
        <v>64</v>
      </c>
      <c r="I54" s="2" t="s">
        <v>436</v>
      </c>
      <c r="J54" s="2" t="s">
        <v>437</v>
      </c>
      <c r="K54" s="2" t="s">
        <v>438</v>
      </c>
      <c r="L54" s="2" t="s">
        <v>439</v>
      </c>
    </row>
    <row r="55" spans="1:12" ht="15.75" customHeight="1">
      <c r="A55" s="2">
        <f t="shared" si="0"/>
        <v>54</v>
      </c>
      <c r="B55" s="2">
        <v>58</v>
      </c>
      <c r="C55" s="2" t="s">
        <v>440</v>
      </c>
      <c r="D55" s="2" t="s">
        <v>441</v>
      </c>
      <c r="E55" s="2" t="s">
        <v>442</v>
      </c>
      <c r="F55" s="2" t="s">
        <v>443</v>
      </c>
      <c r="G55" s="2" t="s">
        <v>444</v>
      </c>
      <c r="H55" s="2" t="s">
        <v>64</v>
      </c>
      <c r="I55" s="2" t="s">
        <v>445</v>
      </c>
      <c r="J55" s="2" t="s">
        <v>446</v>
      </c>
      <c r="K55" s="2" t="s">
        <v>223</v>
      </c>
      <c r="L55" s="2" t="s">
        <v>447</v>
      </c>
    </row>
    <row r="56" spans="1:12" ht="15.75" customHeight="1">
      <c r="A56" s="2">
        <f t="shared" si="0"/>
        <v>55</v>
      </c>
      <c r="B56" s="2">
        <v>59</v>
      </c>
      <c r="C56" s="2" t="s">
        <v>448</v>
      </c>
      <c r="D56" s="2" t="s">
        <v>449</v>
      </c>
      <c r="E56" s="2" t="s">
        <v>305</v>
      </c>
      <c r="F56" s="2" t="s">
        <v>450</v>
      </c>
      <c r="G56" s="2" t="s">
        <v>451</v>
      </c>
      <c r="H56" s="2" t="s">
        <v>64</v>
      </c>
      <c r="I56" s="2" t="s">
        <v>452</v>
      </c>
      <c r="J56" s="2" t="s">
        <v>453</v>
      </c>
      <c r="K56" s="2" t="s">
        <v>454</v>
      </c>
      <c r="L56" s="2" t="s">
        <v>455</v>
      </c>
    </row>
    <row r="57" spans="1:12" ht="15.75" customHeight="1">
      <c r="A57" s="2">
        <f t="shared" si="0"/>
        <v>56</v>
      </c>
      <c r="B57" s="2">
        <v>60</v>
      </c>
      <c r="C57" s="2" t="s">
        <v>456</v>
      </c>
      <c r="D57" s="2" t="s">
        <v>457</v>
      </c>
      <c r="E57" s="2" t="s">
        <v>179</v>
      </c>
      <c r="F57" s="2" t="s">
        <v>458</v>
      </c>
      <c r="G57" s="2" t="s">
        <v>459</v>
      </c>
      <c r="H57" s="2" t="s">
        <v>64</v>
      </c>
      <c r="I57" s="2" t="s">
        <v>460</v>
      </c>
      <c r="J57" s="2" t="s">
        <v>461</v>
      </c>
      <c r="K57" s="2" t="s">
        <v>462</v>
      </c>
      <c r="L57" s="2" t="s">
        <v>463</v>
      </c>
    </row>
    <row r="58" spans="1:12" ht="15.75" customHeight="1">
      <c r="A58" s="2">
        <f t="shared" si="0"/>
        <v>57</v>
      </c>
      <c r="B58" s="2">
        <v>61</v>
      </c>
      <c r="C58" s="2" t="s">
        <v>464</v>
      </c>
      <c r="D58" s="2" t="s">
        <v>465</v>
      </c>
      <c r="E58" s="2" t="s">
        <v>179</v>
      </c>
      <c r="F58" s="2" t="s">
        <v>466</v>
      </c>
      <c r="G58" s="2" t="s">
        <v>467</v>
      </c>
      <c r="H58" s="2" t="s">
        <v>64</v>
      </c>
      <c r="I58" s="2" t="s">
        <v>468</v>
      </c>
      <c r="J58" s="2" t="s">
        <v>469</v>
      </c>
      <c r="K58" s="2" t="s">
        <v>470</v>
      </c>
      <c r="L58" s="2" t="s">
        <v>471</v>
      </c>
    </row>
    <row r="59" spans="1:12" ht="15.75" customHeight="1">
      <c r="A59" s="2">
        <f t="shared" si="0"/>
        <v>58</v>
      </c>
      <c r="B59" s="2">
        <v>62</v>
      </c>
      <c r="C59" s="2" t="s">
        <v>472</v>
      </c>
      <c r="D59" s="2" t="s">
        <v>473</v>
      </c>
      <c r="E59" s="2" t="s">
        <v>113</v>
      </c>
      <c r="F59" s="2" t="s">
        <v>474</v>
      </c>
      <c r="G59" s="2" t="s">
        <v>475</v>
      </c>
      <c r="H59" s="2" t="s">
        <v>64</v>
      </c>
      <c r="J59" s="2" t="s">
        <v>476</v>
      </c>
      <c r="K59" s="2" t="s">
        <v>84</v>
      </c>
      <c r="L59" s="2" t="s">
        <v>477</v>
      </c>
    </row>
    <row r="60" spans="1:12" ht="15.75" customHeight="1">
      <c r="A60" s="2">
        <f t="shared" si="0"/>
        <v>59</v>
      </c>
      <c r="B60" s="2">
        <v>63</v>
      </c>
      <c r="C60" s="2" t="s">
        <v>478</v>
      </c>
      <c r="D60" s="2" t="s">
        <v>479</v>
      </c>
      <c r="E60" s="2" t="s">
        <v>480</v>
      </c>
      <c r="F60" s="2" t="s">
        <v>481</v>
      </c>
      <c r="G60" s="2" t="s">
        <v>482</v>
      </c>
      <c r="H60" s="2" t="s">
        <v>64</v>
      </c>
      <c r="I60" s="2" t="s">
        <v>483</v>
      </c>
      <c r="J60" s="2" t="s">
        <v>484</v>
      </c>
      <c r="K60" s="2" t="s">
        <v>485</v>
      </c>
      <c r="L60" s="2" t="s">
        <v>486</v>
      </c>
    </row>
    <row r="61" spans="1:12" ht="15.75" customHeight="1">
      <c r="A61" s="2">
        <f t="shared" si="0"/>
        <v>60</v>
      </c>
      <c r="B61" s="2">
        <v>64</v>
      </c>
      <c r="C61" s="2" t="s">
        <v>487</v>
      </c>
      <c r="D61" s="2" t="s">
        <v>488</v>
      </c>
      <c r="E61" s="2" t="s">
        <v>489</v>
      </c>
      <c r="F61" s="2" t="s">
        <v>490</v>
      </c>
      <c r="G61" s="2" t="s">
        <v>491</v>
      </c>
      <c r="H61" s="2" t="s">
        <v>64</v>
      </c>
      <c r="I61" s="2" t="s">
        <v>492</v>
      </c>
      <c r="J61" s="2" t="s">
        <v>493</v>
      </c>
      <c r="K61" s="2" t="s">
        <v>494</v>
      </c>
      <c r="L61" s="2" t="s">
        <v>495</v>
      </c>
    </row>
    <row r="62" spans="1:12" ht="15.75" customHeight="1">
      <c r="A62" s="2">
        <f t="shared" si="0"/>
        <v>61</v>
      </c>
      <c r="B62" s="2">
        <v>65</v>
      </c>
      <c r="C62" s="2" t="s">
        <v>496</v>
      </c>
      <c r="D62" s="2" t="s">
        <v>497</v>
      </c>
      <c r="E62" s="2" t="s">
        <v>498</v>
      </c>
      <c r="F62" s="2" t="s">
        <v>499</v>
      </c>
      <c r="G62" s="2" t="s">
        <v>500</v>
      </c>
      <c r="H62" s="2" t="s">
        <v>45</v>
      </c>
      <c r="I62" s="2" t="s">
        <v>501</v>
      </c>
      <c r="J62" s="2" t="s">
        <v>502</v>
      </c>
      <c r="K62" s="2" t="s">
        <v>503</v>
      </c>
      <c r="L62" s="2" t="s">
        <v>504</v>
      </c>
    </row>
    <row r="63" spans="1:12" ht="15.75" customHeight="1">
      <c r="A63" s="2">
        <f t="shared" si="0"/>
        <v>62</v>
      </c>
      <c r="B63" s="2">
        <v>66</v>
      </c>
      <c r="C63" s="2" t="s">
        <v>505</v>
      </c>
      <c r="D63" s="2" t="s">
        <v>506</v>
      </c>
      <c r="E63" s="2" t="s">
        <v>129</v>
      </c>
      <c r="F63" s="2" t="s">
        <v>507</v>
      </c>
      <c r="G63" s="2" t="s">
        <v>508</v>
      </c>
      <c r="H63" s="2" t="s">
        <v>45</v>
      </c>
      <c r="I63" s="2" t="s">
        <v>509</v>
      </c>
      <c r="J63" s="2" t="s">
        <v>510</v>
      </c>
      <c r="K63" s="2" t="s">
        <v>511</v>
      </c>
      <c r="L63" s="2" t="s">
        <v>512</v>
      </c>
    </row>
    <row r="64" spans="1:12" ht="15.75" customHeight="1">
      <c r="A64" s="2">
        <f t="shared" si="0"/>
        <v>63</v>
      </c>
      <c r="B64" s="2">
        <v>67</v>
      </c>
      <c r="C64" s="2" t="s">
        <v>513</v>
      </c>
      <c r="D64" s="2" t="s">
        <v>514</v>
      </c>
      <c r="E64" s="2" t="s">
        <v>129</v>
      </c>
      <c r="F64" s="2" t="s">
        <v>515</v>
      </c>
      <c r="G64" s="2" t="s">
        <v>516</v>
      </c>
      <c r="H64" s="2" t="s">
        <v>45</v>
      </c>
      <c r="I64" s="2" t="s">
        <v>517</v>
      </c>
      <c r="J64" s="2" t="s">
        <v>518</v>
      </c>
      <c r="K64" s="2" t="s">
        <v>519</v>
      </c>
      <c r="L64" s="2" t="s">
        <v>520</v>
      </c>
    </row>
    <row r="65" spans="1:12" ht="15.75" customHeight="1">
      <c r="A65" s="2">
        <f t="shared" si="0"/>
        <v>64</v>
      </c>
      <c r="B65" s="2">
        <v>68</v>
      </c>
      <c r="C65" s="2" t="s">
        <v>521</v>
      </c>
      <c r="D65" s="2" t="s">
        <v>522</v>
      </c>
      <c r="E65" s="2" t="s">
        <v>129</v>
      </c>
      <c r="F65" s="2" t="s">
        <v>523</v>
      </c>
      <c r="G65" s="2" t="s">
        <v>524</v>
      </c>
      <c r="H65" s="2" t="s">
        <v>45</v>
      </c>
      <c r="I65" s="2" t="s">
        <v>525</v>
      </c>
      <c r="J65" s="2" t="s">
        <v>526</v>
      </c>
      <c r="K65" s="2" t="s">
        <v>527</v>
      </c>
      <c r="L65" s="2" t="s">
        <v>528</v>
      </c>
    </row>
    <row r="66" spans="1:12" ht="15.75" customHeight="1">
      <c r="A66" s="2">
        <f t="shared" si="0"/>
        <v>65</v>
      </c>
      <c r="B66" s="2">
        <v>69</v>
      </c>
      <c r="C66" s="2" t="s">
        <v>529</v>
      </c>
      <c r="D66" s="2" t="s">
        <v>530</v>
      </c>
      <c r="E66" s="2" t="s">
        <v>129</v>
      </c>
      <c r="F66" s="2" t="s">
        <v>531</v>
      </c>
      <c r="G66" s="2" t="s">
        <v>532</v>
      </c>
      <c r="H66" s="2" t="s">
        <v>45</v>
      </c>
      <c r="I66" s="2" t="s">
        <v>533</v>
      </c>
      <c r="J66" s="2" t="s">
        <v>534</v>
      </c>
      <c r="K66" s="2" t="s">
        <v>535</v>
      </c>
      <c r="L66" s="2" t="s">
        <v>536</v>
      </c>
    </row>
    <row r="67" spans="1:12" ht="15.75" customHeight="1">
      <c r="A67" s="2">
        <f t="shared" si="0"/>
        <v>66</v>
      </c>
      <c r="B67" s="2">
        <v>70</v>
      </c>
      <c r="C67" s="2" t="s">
        <v>537</v>
      </c>
      <c r="D67" s="2" t="s">
        <v>538</v>
      </c>
      <c r="E67" s="2" t="s">
        <v>539</v>
      </c>
      <c r="F67" s="2" t="s">
        <v>540</v>
      </c>
      <c r="G67" s="2" t="s">
        <v>541</v>
      </c>
      <c r="H67" s="2" t="s">
        <v>64</v>
      </c>
      <c r="I67" s="2" t="s">
        <v>542</v>
      </c>
      <c r="J67" s="2" t="s">
        <v>543</v>
      </c>
      <c r="K67" s="2" t="s">
        <v>223</v>
      </c>
      <c r="L67" s="2" t="s">
        <v>544</v>
      </c>
    </row>
    <row r="68" spans="1:12" ht="15.75" customHeight="1">
      <c r="A68" s="2">
        <f t="shared" si="0"/>
        <v>67</v>
      </c>
      <c r="B68" s="2">
        <v>71</v>
      </c>
      <c r="C68" s="2" t="s">
        <v>545</v>
      </c>
      <c r="D68" s="2" t="s">
        <v>546</v>
      </c>
      <c r="E68" s="2" t="s">
        <v>129</v>
      </c>
      <c r="F68" s="2" t="s">
        <v>547</v>
      </c>
      <c r="G68" s="2" t="s">
        <v>548</v>
      </c>
      <c r="H68" s="2" t="s">
        <v>64</v>
      </c>
      <c r="I68" s="2" t="s">
        <v>549</v>
      </c>
      <c r="J68" s="2" t="s">
        <v>550</v>
      </c>
      <c r="K68" s="2" t="s">
        <v>551</v>
      </c>
      <c r="L68" s="2" t="s">
        <v>552</v>
      </c>
    </row>
    <row r="69" spans="1:12" ht="15.75" customHeight="1">
      <c r="A69" s="2">
        <f t="shared" si="0"/>
        <v>68</v>
      </c>
      <c r="B69" s="2">
        <v>72</v>
      </c>
      <c r="C69" s="2" t="s">
        <v>553</v>
      </c>
      <c r="D69" s="2" t="s">
        <v>554</v>
      </c>
      <c r="E69" s="2" t="s">
        <v>555</v>
      </c>
      <c r="F69" s="2" t="s">
        <v>556</v>
      </c>
      <c r="G69" s="2" t="s">
        <v>557</v>
      </c>
      <c r="H69" s="2" t="s">
        <v>45</v>
      </c>
      <c r="I69" s="2" t="s">
        <v>558</v>
      </c>
      <c r="J69" s="2" t="s">
        <v>559</v>
      </c>
      <c r="K69" s="2" t="s">
        <v>560</v>
      </c>
      <c r="L69" s="2" t="s">
        <v>561</v>
      </c>
    </row>
    <row r="70" spans="1:12" ht="15.75" customHeight="1">
      <c r="A70" s="2">
        <f t="shared" si="0"/>
        <v>69</v>
      </c>
      <c r="B70" s="2">
        <v>74</v>
      </c>
      <c r="C70" s="2" t="s">
        <v>562</v>
      </c>
      <c r="D70" s="2" t="s">
        <v>563</v>
      </c>
      <c r="E70" s="2" t="s">
        <v>564</v>
      </c>
      <c r="F70" s="2" t="s">
        <v>565</v>
      </c>
      <c r="G70" s="2" t="s">
        <v>566</v>
      </c>
      <c r="H70" s="2" t="s">
        <v>64</v>
      </c>
      <c r="I70" s="2" t="s">
        <v>567</v>
      </c>
      <c r="J70" s="2" t="s">
        <v>568</v>
      </c>
      <c r="K70" s="2" t="s">
        <v>569</v>
      </c>
      <c r="L70" s="2" t="s">
        <v>570</v>
      </c>
    </row>
    <row r="71" spans="1:12" ht="15.75" customHeight="1">
      <c r="A71" s="2">
        <f t="shared" si="0"/>
        <v>70</v>
      </c>
      <c r="B71" s="2">
        <v>75</v>
      </c>
      <c r="C71" s="2" t="s">
        <v>571</v>
      </c>
      <c r="D71" s="2" t="s">
        <v>572</v>
      </c>
      <c r="E71" s="2" t="s">
        <v>113</v>
      </c>
      <c r="F71" s="2" t="s">
        <v>573</v>
      </c>
      <c r="G71" s="2" t="s">
        <v>574</v>
      </c>
      <c r="H71" s="2" t="s">
        <v>64</v>
      </c>
      <c r="I71" s="2" t="s">
        <v>575</v>
      </c>
      <c r="J71" s="2" t="s">
        <v>576</v>
      </c>
      <c r="K71" s="2" t="s">
        <v>577</v>
      </c>
      <c r="L71" s="2" t="s">
        <v>578</v>
      </c>
    </row>
    <row r="72" spans="1:12" ht="15.75" customHeight="1">
      <c r="A72" s="2">
        <f t="shared" si="0"/>
        <v>71</v>
      </c>
      <c r="B72" s="2">
        <v>76</v>
      </c>
      <c r="C72" s="2" t="s">
        <v>579</v>
      </c>
      <c r="D72" s="2" t="s">
        <v>580</v>
      </c>
      <c r="E72" s="2" t="s">
        <v>15</v>
      </c>
      <c r="F72" s="2" t="s">
        <v>581</v>
      </c>
      <c r="G72" s="2" t="s">
        <v>582</v>
      </c>
      <c r="H72" s="2" t="s">
        <v>64</v>
      </c>
      <c r="I72" s="2" t="s">
        <v>583</v>
      </c>
      <c r="J72" s="2" t="s">
        <v>584</v>
      </c>
      <c r="K72" s="2" t="s">
        <v>585</v>
      </c>
      <c r="L72" s="2" t="s">
        <v>586</v>
      </c>
    </row>
    <row r="73" spans="1:12" ht="15.75" customHeight="1">
      <c r="A73" s="2">
        <f t="shared" si="0"/>
        <v>72</v>
      </c>
      <c r="B73" s="2">
        <v>77</v>
      </c>
      <c r="C73" s="2" t="s">
        <v>587</v>
      </c>
      <c r="D73" s="2" t="s">
        <v>588</v>
      </c>
      <c r="E73" s="2" t="s">
        <v>589</v>
      </c>
      <c r="F73" s="2" t="s">
        <v>590</v>
      </c>
      <c r="G73" s="2" t="s">
        <v>591</v>
      </c>
      <c r="H73" s="2" t="s">
        <v>64</v>
      </c>
      <c r="I73" s="2" t="s">
        <v>592</v>
      </c>
      <c r="J73" s="2" t="s">
        <v>593</v>
      </c>
      <c r="K73" s="2" t="s">
        <v>594</v>
      </c>
      <c r="L73" s="2" t="s">
        <v>595</v>
      </c>
    </row>
    <row r="74" spans="1:12" ht="15.75" customHeight="1">
      <c r="A74" s="2">
        <f t="shared" si="0"/>
        <v>73</v>
      </c>
      <c r="B74" s="2">
        <v>78</v>
      </c>
      <c r="C74" s="2" t="s">
        <v>596</v>
      </c>
      <c r="D74" s="2" t="s">
        <v>597</v>
      </c>
      <c r="E74" s="2" t="s">
        <v>598</v>
      </c>
      <c r="F74" s="2" t="s">
        <v>599</v>
      </c>
      <c r="G74" s="2" t="s">
        <v>600</v>
      </c>
      <c r="H74" s="2" t="s">
        <v>64</v>
      </c>
      <c r="I74" s="2" t="s">
        <v>601</v>
      </c>
      <c r="J74" s="2" t="s">
        <v>602</v>
      </c>
      <c r="K74" s="2" t="s">
        <v>603</v>
      </c>
      <c r="L74" s="2" t="s">
        <v>604</v>
      </c>
    </row>
    <row r="75" spans="1:12" ht="15.75" customHeight="1">
      <c r="A75" s="2">
        <f t="shared" si="0"/>
        <v>74</v>
      </c>
      <c r="B75" s="2">
        <v>79</v>
      </c>
      <c r="C75" s="2" t="s">
        <v>605</v>
      </c>
      <c r="D75" s="2" t="s">
        <v>606</v>
      </c>
      <c r="E75" s="2" t="s">
        <v>607</v>
      </c>
      <c r="F75" s="2" t="s">
        <v>608</v>
      </c>
      <c r="G75" s="2" t="s">
        <v>609</v>
      </c>
      <c r="H75" s="2" t="s">
        <v>64</v>
      </c>
      <c r="I75" s="2" t="s">
        <v>610</v>
      </c>
      <c r="J75" s="2" t="s">
        <v>611</v>
      </c>
      <c r="K75" s="2" t="s">
        <v>612</v>
      </c>
      <c r="L75" s="2" t="s">
        <v>613</v>
      </c>
    </row>
    <row r="76" spans="1:12" ht="15.75" customHeight="1">
      <c r="A76" s="2">
        <f t="shared" si="0"/>
        <v>75</v>
      </c>
      <c r="B76" s="2">
        <v>80</v>
      </c>
      <c r="C76" s="2" t="s">
        <v>614</v>
      </c>
      <c r="D76" s="2" t="s">
        <v>615</v>
      </c>
      <c r="E76" s="2" t="s">
        <v>555</v>
      </c>
      <c r="F76" s="2" t="s">
        <v>616</v>
      </c>
      <c r="G76" s="2" t="s">
        <v>617</v>
      </c>
      <c r="H76" s="2" t="s">
        <v>64</v>
      </c>
      <c r="J76" s="2" t="s">
        <v>618</v>
      </c>
      <c r="K76" s="2" t="s">
        <v>619</v>
      </c>
      <c r="L76" s="2" t="s">
        <v>620</v>
      </c>
    </row>
    <row r="77" spans="1:12" ht="15.75" customHeight="1">
      <c r="A77" s="2">
        <f t="shared" si="0"/>
        <v>76</v>
      </c>
      <c r="B77" s="2">
        <v>81</v>
      </c>
      <c r="C77" s="2" t="s">
        <v>621</v>
      </c>
      <c r="D77" s="2" t="s">
        <v>622</v>
      </c>
      <c r="E77" s="2" t="s">
        <v>589</v>
      </c>
      <c r="F77" s="2" t="s">
        <v>623</v>
      </c>
      <c r="G77" s="2" t="s">
        <v>624</v>
      </c>
      <c r="H77" s="2" t="s">
        <v>18</v>
      </c>
      <c r="I77" s="2" t="s">
        <v>625</v>
      </c>
      <c r="J77" s="2" t="s">
        <v>626</v>
      </c>
      <c r="K77" s="2" t="s">
        <v>627</v>
      </c>
      <c r="L77" s="2" t="s">
        <v>628</v>
      </c>
    </row>
    <row r="78" spans="1:12" ht="15.75" customHeight="1">
      <c r="A78" s="2">
        <f t="shared" si="0"/>
        <v>77</v>
      </c>
      <c r="B78" s="2">
        <v>82</v>
      </c>
      <c r="C78" s="2" t="s">
        <v>629</v>
      </c>
      <c r="D78" s="2" t="s">
        <v>630</v>
      </c>
      <c r="E78" s="2" t="s">
        <v>15</v>
      </c>
      <c r="F78" s="2" t="s">
        <v>631</v>
      </c>
      <c r="G78" s="2" t="s">
        <v>632</v>
      </c>
      <c r="H78" s="2" t="s">
        <v>64</v>
      </c>
      <c r="I78" s="2" t="s">
        <v>633</v>
      </c>
      <c r="J78" s="2" t="s">
        <v>634</v>
      </c>
      <c r="K78" s="2" t="s">
        <v>635</v>
      </c>
      <c r="L78" s="2" t="s">
        <v>636</v>
      </c>
    </row>
    <row r="79" spans="1:12" ht="15.75" customHeight="1">
      <c r="A79" s="2">
        <f t="shared" si="0"/>
        <v>78</v>
      </c>
      <c r="B79" s="2">
        <v>83</v>
      </c>
      <c r="C79" s="2" t="s">
        <v>637</v>
      </c>
      <c r="D79" s="2" t="s">
        <v>638</v>
      </c>
      <c r="E79" s="2" t="s">
        <v>498</v>
      </c>
      <c r="F79" s="2" t="s">
        <v>639</v>
      </c>
      <c r="G79" s="2" t="s">
        <v>640</v>
      </c>
      <c r="H79" s="2" t="s">
        <v>45</v>
      </c>
      <c r="I79" s="2" t="s">
        <v>641</v>
      </c>
      <c r="J79" s="2" t="s">
        <v>642</v>
      </c>
      <c r="K79" s="2" t="s">
        <v>643</v>
      </c>
      <c r="L79" s="2" t="s">
        <v>644</v>
      </c>
    </row>
    <row r="80" spans="1:12" ht="15.75" customHeight="1">
      <c r="A80" s="2">
        <f t="shared" si="0"/>
        <v>79</v>
      </c>
      <c r="B80" s="2">
        <v>84</v>
      </c>
      <c r="C80" s="2" t="s">
        <v>645</v>
      </c>
      <c r="D80" s="2" t="s">
        <v>646</v>
      </c>
      <c r="E80" s="2" t="s">
        <v>129</v>
      </c>
      <c r="F80" s="2" t="s">
        <v>647</v>
      </c>
      <c r="G80" s="2" t="s">
        <v>648</v>
      </c>
      <c r="H80" s="2" t="s">
        <v>45</v>
      </c>
      <c r="I80" s="2" t="s">
        <v>649</v>
      </c>
      <c r="J80" s="2" t="s">
        <v>650</v>
      </c>
      <c r="K80" s="2" t="s">
        <v>651</v>
      </c>
      <c r="L80" s="2" t="s">
        <v>652</v>
      </c>
    </row>
    <row r="81" spans="1:12" ht="15.75" customHeight="1">
      <c r="A81" s="2">
        <f t="shared" si="0"/>
        <v>80</v>
      </c>
      <c r="B81" s="2">
        <v>85</v>
      </c>
      <c r="C81" s="2" t="s">
        <v>653</v>
      </c>
      <c r="D81" s="2" t="s">
        <v>654</v>
      </c>
      <c r="E81" s="2" t="s">
        <v>129</v>
      </c>
      <c r="F81" s="2" t="s">
        <v>655</v>
      </c>
      <c r="G81" s="2" t="s">
        <v>656</v>
      </c>
      <c r="H81" s="2" t="s">
        <v>45</v>
      </c>
      <c r="I81" s="2" t="s">
        <v>657</v>
      </c>
      <c r="J81" s="2" t="s">
        <v>658</v>
      </c>
      <c r="K81" s="2" t="s">
        <v>659</v>
      </c>
      <c r="L81" s="2" t="s">
        <v>660</v>
      </c>
    </row>
    <row r="82" spans="1:12" ht="15.75" customHeight="1">
      <c r="A82" s="2">
        <f t="shared" si="0"/>
        <v>81</v>
      </c>
      <c r="B82" s="2">
        <v>86</v>
      </c>
      <c r="C82" s="2" t="s">
        <v>661</v>
      </c>
      <c r="D82" s="2" t="s">
        <v>662</v>
      </c>
      <c r="E82" s="2" t="s">
        <v>129</v>
      </c>
      <c r="F82" s="2" t="s">
        <v>663</v>
      </c>
      <c r="G82" s="2" t="s">
        <v>664</v>
      </c>
      <c r="H82" s="2" t="s">
        <v>45</v>
      </c>
      <c r="I82" s="2" t="s">
        <v>665</v>
      </c>
      <c r="J82" s="2" t="s">
        <v>666</v>
      </c>
      <c r="K82" s="2" t="s">
        <v>667</v>
      </c>
      <c r="L82" s="2" t="s">
        <v>668</v>
      </c>
    </row>
    <row r="83" spans="1:12" ht="15.75" customHeight="1">
      <c r="A83" s="2">
        <f t="shared" si="0"/>
        <v>82</v>
      </c>
      <c r="B83" s="2">
        <v>87</v>
      </c>
      <c r="C83" s="2" t="s">
        <v>669</v>
      </c>
      <c r="D83" s="2" t="s">
        <v>670</v>
      </c>
      <c r="E83" s="2" t="s">
        <v>113</v>
      </c>
      <c r="F83" s="2" t="s">
        <v>671</v>
      </c>
      <c r="G83" s="2" t="s">
        <v>672</v>
      </c>
      <c r="H83" s="2" t="s">
        <v>45</v>
      </c>
      <c r="I83" s="2" t="s">
        <v>673</v>
      </c>
      <c r="J83" s="2" t="s">
        <v>674</v>
      </c>
      <c r="K83" s="2" t="s">
        <v>675</v>
      </c>
      <c r="L83" s="2" t="s">
        <v>676</v>
      </c>
    </row>
    <row r="84" spans="1:12" ht="15.75" customHeight="1">
      <c r="A84" s="2">
        <f t="shared" si="0"/>
        <v>83</v>
      </c>
      <c r="B84" s="2">
        <v>88</v>
      </c>
      <c r="C84" s="2" t="s">
        <v>677</v>
      </c>
      <c r="D84" s="2" t="s">
        <v>678</v>
      </c>
      <c r="E84" s="2" t="s">
        <v>113</v>
      </c>
      <c r="F84" s="2" t="s">
        <v>679</v>
      </c>
      <c r="G84" s="2" t="s">
        <v>680</v>
      </c>
      <c r="H84" s="2" t="s">
        <v>18</v>
      </c>
      <c r="J84" s="2" t="s">
        <v>681</v>
      </c>
      <c r="K84" s="2" t="s">
        <v>682</v>
      </c>
      <c r="L84" s="2" t="s">
        <v>683</v>
      </c>
    </row>
    <row r="85" spans="1:12" ht="15.75" customHeight="1">
      <c r="A85" s="2">
        <f t="shared" si="0"/>
        <v>84</v>
      </c>
      <c r="B85" s="2">
        <v>89</v>
      </c>
      <c r="C85" s="2" t="s">
        <v>684</v>
      </c>
      <c r="D85" s="2" t="s">
        <v>685</v>
      </c>
      <c r="E85" s="2" t="s">
        <v>104</v>
      </c>
      <c r="F85" s="2" t="s">
        <v>686</v>
      </c>
      <c r="G85" s="2" t="s">
        <v>687</v>
      </c>
      <c r="H85" s="2" t="s">
        <v>64</v>
      </c>
      <c r="I85" s="2" t="s">
        <v>688</v>
      </c>
      <c r="J85" s="2" t="s">
        <v>689</v>
      </c>
      <c r="K85" s="2" t="s">
        <v>690</v>
      </c>
      <c r="L85" s="2" t="s">
        <v>691</v>
      </c>
    </row>
    <row r="86" spans="1:12" ht="15.75" customHeight="1">
      <c r="A86" s="2">
        <f t="shared" si="0"/>
        <v>85</v>
      </c>
      <c r="B86" s="2">
        <v>90</v>
      </c>
      <c r="C86" s="2" t="s">
        <v>692</v>
      </c>
      <c r="D86" s="2" t="s">
        <v>693</v>
      </c>
      <c r="E86" s="2" t="s">
        <v>598</v>
      </c>
      <c r="F86" s="2" t="s">
        <v>694</v>
      </c>
      <c r="G86" s="2" t="s">
        <v>695</v>
      </c>
      <c r="H86" s="2" t="s">
        <v>45</v>
      </c>
      <c r="I86" s="2" t="s">
        <v>696</v>
      </c>
      <c r="J86" s="2" t="s">
        <v>697</v>
      </c>
      <c r="K86" s="2" t="s">
        <v>698</v>
      </c>
      <c r="L86" s="2" t="s">
        <v>699</v>
      </c>
    </row>
    <row r="87" spans="1:12" ht="15.75" customHeight="1">
      <c r="A87" s="2">
        <f t="shared" si="0"/>
        <v>86</v>
      </c>
      <c r="B87" s="2">
        <v>91</v>
      </c>
      <c r="C87" s="2" t="s">
        <v>700</v>
      </c>
      <c r="D87" s="2" t="s">
        <v>701</v>
      </c>
      <c r="E87" s="2" t="s">
        <v>129</v>
      </c>
      <c r="F87" s="2" t="s">
        <v>702</v>
      </c>
      <c r="G87" s="2" t="s">
        <v>703</v>
      </c>
      <c r="H87" s="2" t="s">
        <v>45</v>
      </c>
      <c r="I87" s="2" t="s">
        <v>704</v>
      </c>
      <c r="J87" s="2" t="s">
        <v>705</v>
      </c>
      <c r="K87" s="2" t="s">
        <v>706</v>
      </c>
      <c r="L87" s="2" t="s">
        <v>707</v>
      </c>
    </row>
    <row r="88" spans="1:12" ht="15.75" customHeight="1">
      <c r="A88" s="2">
        <f t="shared" si="0"/>
        <v>87</v>
      </c>
      <c r="B88" s="2">
        <v>92</v>
      </c>
      <c r="C88" s="2" t="s">
        <v>708</v>
      </c>
      <c r="D88" s="2" t="s">
        <v>709</v>
      </c>
      <c r="E88" s="2" t="s">
        <v>113</v>
      </c>
      <c r="F88" s="2" t="s">
        <v>710</v>
      </c>
      <c r="G88" s="2" t="s">
        <v>711</v>
      </c>
      <c r="H88" s="2" t="s">
        <v>64</v>
      </c>
      <c r="J88" s="2" t="s">
        <v>712</v>
      </c>
      <c r="K88" s="2" t="s">
        <v>713</v>
      </c>
      <c r="L88" s="2" t="s">
        <v>714</v>
      </c>
    </row>
    <row r="89" spans="1:12" ht="15.75" customHeight="1">
      <c r="A89" s="2">
        <f t="shared" si="0"/>
        <v>88</v>
      </c>
      <c r="B89" s="2">
        <v>93</v>
      </c>
      <c r="C89" s="2" t="s">
        <v>715</v>
      </c>
      <c r="D89" s="2" t="s">
        <v>716</v>
      </c>
      <c r="E89" s="2" t="s">
        <v>33</v>
      </c>
      <c r="F89" s="2" t="s">
        <v>717</v>
      </c>
      <c r="G89" s="2" t="s">
        <v>718</v>
      </c>
      <c r="H89" s="2" t="s">
        <v>18</v>
      </c>
      <c r="I89" s="2" t="s">
        <v>719</v>
      </c>
      <c r="J89" s="2" t="s">
        <v>720</v>
      </c>
      <c r="K89" s="2" t="s">
        <v>721</v>
      </c>
      <c r="L89" s="2" t="s">
        <v>722</v>
      </c>
    </row>
    <row r="90" spans="1:12" ht="15.75" customHeight="1">
      <c r="A90" s="2">
        <f t="shared" si="0"/>
        <v>89</v>
      </c>
      <c r="B90" s="2">
        <v>94</v>
      </c>
      <c r="C90" s="2" t="s">
        <v>723</v>
      </c>
      <c r="D90" s="2" t="s">
        <v>724</v>
      </c>
      <c r="E90" s="2" t="s">
        <v>274</v>
      </c>
      <c r="F90" s="2" t="s">
        <v>725</v>
      </c>
      <c r="G90" s="2" t="s">
        <v>726</v>
      </c>
      <c r="H90" s="2" t="s">
        <v>64</v>
      </c>
      <c r="I90" s="2" t="s">
        <v>727</v>
      </c>
      <c r="J90" s="2" t="s">
        <v>728</v>
      </c>
      <c r="K90" s="2" t="s">
        <v>729</v>
      </c>
      <c r="L90" s="2" t="s">
        <v>730</v>
      </c>
    </row>
    <row r="91" spans="1:12" ht="15.75" customHeight="1">
      <c r="A91" s="2">
        <f t="shared" si="0"/>
        <v>90</v>
      </c>
      <c r="B91" s="2">
        <v>95</v>
      </c>
      <c r="C91" s="2" t="s">
        <v>731</v>
      </c>
      <c r="D91" s="2" t="s">
        <v>732</v>
      </c>
      <c r="E91" s="2" t="s">
        <v>305</v>
      </c>
      <c r="F91" s="2" t="s">
        <v>733</v>
      </c>
      <c r="G91" s="2" t="s">
        <v>734</v>
      </c>
      <c r="H91" s="2" t="s">
        <v>64</v>
      </c>
      <c r="J91" s="2" t="s">
        <v>735</v>
      </c>
      <c r="K91" s="2" t="s">
        <v>736</v>
      </c>
      <c r="L91" s="2" t="s">
        <v>737</v>
      </c>
    </row>
    <row r="92" spans="1:12" ht="15.75" customHeight="1">
      <c r="A92" s="2">
        <f t="shared" si="0"/>
        <v>91</v>
      </c>
      <c r="B92" s="2">
        <v>96</v>
      </c>
      <c r="C92" s="2" t="s">
        <v>738</v>
      </c>
      <c r="D92" s="2" t="s">
        <v>739</v>
      </c>
      <c r="E92" s="2" t="s">
        <v>373</v>
      </c>
      <c r="F92" s="2" t="s">
        <v>740</v>
      </c>
      <c r="G92" s="2" t="s">
        <v>741</v>
      </c>
      <c r="H92" s="2" t="s">
        <v>64</v>
      </c>
      <c r="I92" s="2" t="s">
        <v>742</v>
      </c>
      <c r="J92" s="2" t="s">
        <v>743</v>
      </c>
      <c r="K92" s="2" t="s">
        <v>744</v>
      </c>
      <c r="L92" s="2" t="s">
        <v>745</v>
      </c>
    </row>
    <row r="93" spans="1:12" ht="15.75" customHeight="1">
      <c r="A93" s="2">
        <f t="shared" si="0"/>
        <v>92</v>
      </c>
      <c r="B93" s="2">
        <v>97</v>
      </c>
      <c r="C93" s="2" t="s">
        <v>746</v>
      </c>
      <c r="D93" s="2" t="s">
        <v>747</v>
      </c>
      <c r="E93" s="2" t="s">
        <v>129</v>
      </c>
      <c r="F93" s="2" t="s">
        <v>748</v>
      </c>
      <c r="G93" s="2" t="s">
        <v>749</v>
      </c>
      <c r="H93" s="2" t="s">
        <v>64</v>
      </c>
      <c r="J93" s="2" t="s">
        <v>750</v>
      </c>
      <c r="K93" s="2" t="s">
        <v>751</v>
      </c>
      <c r="L93" s="2" t="s">
        <v>752</v>
      </c>
    </row>
    <row r="94" spans="1:12" ht="15.75" customHeight="1">
      <c r="A94" s="2">
        <f t="shared" si="0"/>
        <v>93</v>
      </c>
      <c r="B94" s="2">
        <v>98</v>
      </c>
      <c r="C94" s="2" t="s">
        <v>753</v>
      </c>
      <c r="D94" s="2" t="s">
        <v>754</v>
      </c>
      <c r="E94" s="2" t="s">
        <v>274</v>
      </c>
      <c r="F94" s="2" t="s">
        <v>755</v>
      </c>
      <c r="G94" s="2" t="s">
        <v>756</v>
      </c>
      <c r="H94" s="2" t="s">
        <v>64</v>
      </c>
      <c r="I94" s="2" t="s">
        <v>757</v>
      </c>
      <c r="J94" s="2" t="s">
        <v>758</v>
      </c>
      <c r="K94" s="2" t="s">
        <v>759</v>
      </c>
      <c r="L94" s="2" t="s">
        <v>760</v>
      </c>
    </row>
    <row r="95" spans="1:12" ht="15.75" customHeight="1">
      <c r="A95" s="2">
        <f t="shared" si="0"/>
        <v>94</v>
      </c>
      <c r="B95" s="2">
        <v>100</v>
      </c>
      <c r="C95" s="2" t="s">
        <v>761</v>
      </c>
      <c r="D95" s="2" t="s">
        <v>762</v>
      </c>
      <c r="E95" s="2" t="s">
        <v>79</v>
      </c>
      <c r="F95" s="2" t="s">
        <v>763</v>
      </c>
      <c r="G95" s="2" t="s">
        <v>764</v>
      </c>
      <c r="H95" s="2" t="s">
        <v>64</v>
      </c>
      <c r="I95" s="2" t="s">
        <v>765</v>
      </c>
      <c r="J95" s="2" t="s">
        <v>766</v>
      </c>
      <c r="K95" s="2" t="s">
        <v>767</v>
      </c>
      <c r="L95" s="2" t="s">
        <v>768</v>
      </c>
    </row>
    <row r="96" spans="1:12" ht="15.75" customHeight="1">
      <c r="A96" s="2">
        <f t="shared" si="0"/>
        <v>95</v>
      </c>
      <c r="B96" s="2">
        <v>101</v>
      </c>
      <c r="C96" s="2" t="s">
        <v>769</v>
      </c>
      <c r="D96" s="2" t="s">
        <v>770</v>
      </c>
      <c r="E96" s="2" t="s">
        <v>129</v>
      </c>
      <c r="F96" s="2" t="s">
        <v>771</v>
      </c>
      <c r="G96" s="2" t="s">
        <v>772</v>
      </c>
      <c r="H96" s="2" t="s">
        <v>45</v>
      </c>
      <c r="I96" s="2" t="s">
        <v>773</v>
      </c>
      <c r="J96" s="2" t="s">
        <v>774</v>
      </c>
      <c r="K96" s="2" t="s">
        <v>775</v>
      </c>
      <c r="L96" s="2" t="s">
        <v>776</v>
      </c>
    </row>
    <row r="97" spans="1:12" ht="15.75" customHeight="1">
      <c r="A97" s="2">
        <f t="shared" si="0"/>
        <v>96</v>
      </c>
      <c r="B97" s="2">
        <v>102</v>
      </c>
      <c r="C97" s="2" t="s">
        <v>777</v>
      </c>
      <c r="D97" s="2" t="s">
        <v>778</v>
      </c>
      <c r="E97" s="2" t="s">
        <v>129</v>
      </c>
      <c r="F97" s="2" t="s">
        <v>779</v>
      </c>
      <c r="G97" s="2" t="s">
        <v>780</v>
      </c>
      <c r="H97" s="2" t="s">
        <v>45</v>
      </c>
      <c r="I97" s="2" t="s">
        <v>781</v>
      </c>
      <c r="J97" s="2" t="s">
        <v>782</v>
      </c>
      <c r="K97" s="2" t="s">
        <v>386</v>
      </c>
      <c r="L97" s="2" t="s">
        <v>783</v>
      </c>
    </row>
    <row r="98" spans="1:12" ht="15.75" customHeight="1">
      <c r="A98" s="2">
        <f t="shared" si="0"/>
        <v>97</v>
      </c>
      <c r="B98" s="2">
        <v>103</v>
      </c>
      <c r="C98" s="2" t="s">
        <v>784</v>
      </c>
      <c r="D98" s="2" t="s">
        <v>785</v>
      </c>
      <c r="E98" s="2" t="s">
        <v>498</v>
      </c>
      <c r="F98" s="2" t="s">
        <v>786</v>
      </c>
      <c r="G98" s="2" t="s">
        <v>787</v>
      </c>
      <c r="H98" s="2" t="s">
        <v>18</v>
      </c>
      <c r="I98" s="2" t="s">
        <v>788</v>
      </c>
      <c r="J98" s="2" t="s">
        <v>789</v>
      </c>
      <c r="K98" s="2" t="s">
        <v>223</v>
      </c>
      <c r="L98" s="2" t="s">
        <v>790</v>
      </c>
    </row>
    <row r="99" spans="1:12" ht="15.75" customHeight="1">
      <c r="A99" s="2">
        <f t="shared" si="0"/>
        <v>98</v>
      </c>
      <c r="B99" s="2">
        <v>104</v>
      </c>
      <c r="C99" s="2" t="s">
        <v>791</v>
      </c>
      <c r="D99" s="2" t="s">
        <v>792</v>
      </c>
      <c r="E99" s="2" t="s">
        <v>33</v>
      </c>
      <c r="F99" s="2" t="s">
        <v>793</v>
      </c>
      <c r="G99" s="2" t="s">
        <v>794</v>
      </c>
      <c r="H99" s="2" t="s">
        <v>45</v>
      </c>
      <c r="I99" s="2" t="s">
        <v>795</v>
      </c>
      <c r="J99" s="2" t="s">
        <v>796</v>
      </c>
      <c r="K99" s="2" t="s">
        <v>797</v>
      </c>
      <c r="L99" s="2" t="s">
        <v>798</v>
      </c>
    </row>
    <row r="100" spans="1:12" ht="15.75" customHeight="1">
      <c r="A100" s="2">
        <f t="shared" si="0"/>
        <v>99</v>
      </c>
      <c r="B100" s="2">
        <v>105</v>
      </c>
      <c r="C100" s="2" t="s">
        <v>799</v>
      </c>
      <c r="D100" s="2" t="s">
        <v>800</v>
      </c>
      <c r="E100" s="2" t="s">
        <v>305</v>
      </c>
      <c r="F100" s="2" t="s">
        <v>801</v>
      </c>
      <c r="G100" s="2" t="s">
        <v>802</v>
      </c>
      <c r="H100" s="2" t="s">
        <v>18</v>
      </c>
      <c r="I100" s="2" t="s">
        <v>803</v>
      </c>
      <c r="J100" s="2" t="s">
        <v>804</v>
      </c>
      <c r="K100" s="2" t="s">
        <v>805</v>
      </c>
      <c r="L100" s="2" t="s">
        <v>806</v>
      </c>
    </row>
    <row r="101" spans="1:12" ht="15.75" customHeight="1">
      <c r="A101" s="2">
        <f t="shared" si="0"/>
        <v>100</v>
      </c>
      <c r="B101" s="2">
        <v>106</v>
      </c>
      <c r="C101" s="2" t="s">
        <v>807</v>
      </c>
      <c r="D101" s="2" t="s">
        <v>808</v>
      </c>
      <c r="E101" s="2" t="s">
        <v>25</v>
      </c>
      <c r="F101" s="2" t="s">
        <v>809</v>
      </c>
      <c r="G101" s="2" t="s">
        <v>810</v>
      </c>
      <c r="H101" s="2" t="s">
        <v>18</v>
      </c>
      <c r="I101" s="2" t="s">
        <v>811</v>
      </c>
      <c r="J101" s="2" t="s">
        <v>812</v>
      </c>
      <c r="K101" s="2" t="s">
        <v>813</v>
      </c>
      <c r="L101" s="2" t="s">
        <v>814</v>
      </c>
    </row>
    <row r="102" spans="1:12" ht="15.75" customHeight="1">
      <c r="A102" s="2">
        <f t="shared" si="0"/>
        <v>101</v>
      </c>
      <c r="B102" s="2">
        <v>107</v>
      </c>
      <c r="C102" s="2" t="s">
        <v>815</v>
      </c>
      <c r="D102" s="2" t="s">
        <v>816</v>
      </c>
      <c r="E102" s="2" t="s">
        <v>42</v>
      </c>
      <c r="F102" s="2" t="s">
        <v>817</v>
      </c>
      <c r="G102" s="2" t="s">
        <v>818</v>
      </c>
      <c r="H102" s="2" t="s">
        <v>18</v>
      </c>
      <c r="J102" s="2" t="s">
        <v>782</v>
      </c>
      <c r="K102" s="2" t="s">
        <v>819</v>
      </c>
      <c r="L102" s="2" t="s">
        <v>820</v>
      </c>
    </row>
    <row r="103" spans="1:12" ht="15.75" customHeight="1">
      <c r="A103" s="2">
        <f t="shared" si="0"/>
        <v>102</v>
      </c>
      <c r="B103" s="2">
        <v>108</v>
      </c>
      <c r="C103" s="2" t="s">
        <v>821</v>
      </c>
      <c r="D103" s="2" t="s">
        <v>822</v>
      </c>
      <c r="E103" s="2" t="s">
        <v>171</v>
      </c>
      <c r="F103" s="2" t="s">
        <v>823</v>
      </c>
      <c r="G103" s="2" t="s">
        <v>824</v>
      </c>
      <c r="H103" s="2" t="s">
        <v>64</v>
      </c>
      <c r="I103" s="2" t="s">
        <v>825</v>
      </c>
      <c r="J103" s="2" t="s">
        <v>826</v>
      </c>
      <c r="K103" s="2" t="s">
        <v>827</v>
      </c>
      <c r="L103" s="2" t="s">
        <v>828</v>
      </c>
    </row>
    <row r="104" spans="1:12" ht="15.75" customHeight="1">
      <c r="A104" s="2">
        <f t="shared" si="0"/>
        <v>103</v>
      </c>
      <c r="B104" s="2">
        <v>109</v>
      </c>
      <c r="C104" s="2" t="s">
        <v>829</v>
      </c>
      <c r="E104" s="2" t="s">
        <v>607</v>
      </c>
      <c r="F104" s="2" t="s">
        <v>830</v>
      </c>
      <c r="G104" s="2" t="s">
        <v>831</v>
      </c>
      <c r="H104" s="2" t="s">
        <v>18</v>
      </c>
      <c r="I104" s="2" t="s">
        <v>832</v>
      </c>
      <c r="J104" s="2" t="s">
        <v>833</v>
      </c>
      <c r="K104" s="2" t="s">
        <v>834</v>
      </c>
      <c r="L104" s="2" t="s">
        <v>835</v>
      </c>
    </row>
    <row r="105" spans="1:12" ht="15.75" customHeight="1">
      <c r="A105" s="2">
        <f t="shared" si="0"/>
        <v>104</v>
      </c>
      <c r="B105" s="2">
        <v>110</v>
      </c>
      <c r="C105" s="2" t="s">
        <v>836</v>
      </c>
      <c r="D105" s="2" t="s">
        <v>837</v>
      </c>
      <c r="E105" s="2" t="s">
        <v>539</v>
      </c>
      <c r="F105" s="2" t="s">
        <v>838</v>
      </c>
      <c r="G105" s="2" t="s">
        <v>839</v>
      </c>
      <c r="H105" s="2" t="s">
        <v>64</v>
      </c>
      <c r="I105" s="2" t="s">
        <v>840</v>
      </c>
      <c r="J105" s="2" t="s">
        <v>841</v>
      </c>
      <c r="K105" s="2" t="s">
        <v>842</v>
      </c>
      <c r="L105" s="2" t="s">
        <v>843</v>
      </c>
    </row>
    <row r="106" spans="1:12" ht="15.75" customHeight="1">
      <c r="A106" s="2">
        <f t="shared" si="0"/>
        <v>105</v>
      </c>
      <c r="B106" s="2">
        <v>111</v>
      </c>
      <c r="C106" s="2" t="s">
        <v>844</v>
      </c>
      <c r="D106" s="2" t="s">
        <v>845</v>
      </c>
      <c r="E106" s="2" t="s">
        <v>539</v>
      </c>
      <c r="F106" s="2" t="s">
        <v>846</v>
      </c>
      <c r="G106" s="2" t="s">
        <v>847</v>
      </c>
      <c r="H106" s="2" t="s">
        <v>64</v>
      </c>
      <c r="I106" s="2" t="s">
        <v>848</v>
      </c>
      <c r="J106" s="2" t="s">
        <v>849</v>
      </c>
      <c r="K106" s="2" t="s">
        <v>850</v>
      </c>
      <c r="L106" s="2" t="s">
        <v>851</v>
      </c>
    </row>
    <row r="107" spans="1:12" ht="15.75" customHeight="1">
      <c r="A107" s="2">
        <f t="shared" si="0"/>
        <v>106</v>
      </c>
      <c r="B107" s="2">
        <v>112</v>
      </c>
      <c r="C107" s="2" t="s">
        <v>852</v>
      </c>
      <c r="D107" s="2" t="s">
        <v>853</v>
      </c>
      <c r="E107" s="2" t="s">
        <v>42</v>
      </c>
      <c r="F107" s="2" t="s">
        <v>854</v>
      </c>
      <c r="G107" s="2" t="s">
        <v>855</v>
      </c>
      <c r="H107" s="2" t="s">
        <v>64</v>
      </c>
      <c r="J107" s="2" t="s">
        <v>856</v>
      </c>
      <c r="K107" s="2" t="s">
        <v>857</v>
      </c>
      <c r="L107" s="2" t="s">
        <v>858</v>
      </c>
    </row>
    <row r="108" spans="1:12" ht="15.75" customHeight="1">
      <c r="A108" s="2">
        <f t="shared" si="0"/>
        <v>107</v>
      </c>
      <c r="B108" s="2">
        <v>113</v>
      </c>
      <c r="C108" s="2" t="s">
        <v>859</v>
      </c>
      <c r="D108" s="2" t="s">
        <v>860</v>
      </c>
      <c r="E108" s="2" t="s">
        <v>42</v>
      </c>
      <c r="F108" s="2" t="s">
        <v>861</v>
      </c>
      <c r="G108" s="2" t="s">
        <v>862</v>
      </c>
      <c r="H108" s="2" t="s">
        <v>64</v>
      </c>
      <c r="I108" s="2" t="s">
        <v>863</v>
      </c>
      <c r="J108" s="2" t="s">
        <v>864</v>
      </c>
      <c r="K108" s="2" t="s">
        <v>865</v>
      </c>
      <c r="L108" s="2" t="s">
        <v>866</v>
      </c>
    </row>
    <row r="109" spans="1:12" ht="15.75" customHeight="1">
      <c r="A109" s="2">
        <f t="shared" si="0"/>
        <v>108</v>
      </c>
      <c r="B109" s="2">
        <v>114</v>
      </c>
      <c r="C109" s="2" t="s">
        <v>867</v>
      </c>
      <c r="D109" s="2" t="s">
        <v>868</v>
      </c>
      <c r="E109" s="2" t="s">
        <v>33</v>
      </c>
      <c r="F109" s="2" t="s">
        <v>869</v>
      </c>
      <c r="G109" s="2" t="s">
        <v>870</v>
      </c>
      <c r="H109" s="2" t="s">
        <v>64</v>
      </c>
      <c r="I109" s="2" t="s">
        <v>871</v>
      </c>
      <c r="J109" s="2" t="s">
        <v>872</v>
      </c>
      <c r="K109" s="2" t="s">
        <v>873</v>
      </c>
      <c r="L109" s="2" t="s">
        <v>874</v>
      </c>
    </row>
    <row r="110" spans="1:12" ht="15.75" customHeight="1">
      <c r="A110" s="2">
        <f t="shared" si="0"/>
        <v>109</v>
      </c>
      <c r="B110" s="2">
        <v>115</v>
      </c>
      <c r="C110" s="2" t="s">
        <v>875</v>
      </c>
      <c r="D110" s="2" t="s">
        <v>876</v>
      </c>
      <c r="E110" s="2" t="s">
        <v>113</v>
      </c>
      <c r="F110" s="2" t="s">
        <v>877</v>
      </c>
      <c r="G110" s="2" t="s">
        <v>878</v>
      </c>
      <c r="H110" s="2" t="s">
        <v>18</v>
      </c>
      <c r="I110" s="2" t="s">
        <v>879</v>
      </c>
      <c r="J110" s="2" t="s">
        <v>880</v>
      </c>
      <c r="K110" s="2" t="s">
        <v>881</v>
      </c>
      <c r="L110" s="2" t="s">
        <v>882</v>
      </c>
    </row>
    <row r="111" spans="1:12" ht="15.75" customHeight="1">
      <c r="A111" s="2">
        <f t="shared" si="0"/>
        <v>110</v>
      </c>
      <c r="B111" s="2">
        <v>116</v>
      </c>
      <c r="C111" s="2" t="s">
        <v>883</v>
      </c>
      <c r="D111" s="2" t="s">
        <v>884</v>
      </c>
      <c r="E111" s="2" t="s">
        <v>442</v>
      </c>
      <c r="F111" s="2" t="s">
        <v>885</v>
      </c>
      <c r="G111" s="2" t="s">
        <v>886</v>
      </c>
      <c r="H111" s="2" t="s">
        <v>64</v>
      </c>
      <c r="I111" s="2" t="s">
        <v>887</v>
      </c>
      <c r="J111" s="2" t="s">
        <v>888</v>
      </c>
      <c r="K111" s="2" t="s">
        <v>889</v>
      </c>
      <c r="L111" s="2" t="s">
        <v>890</v>
      </c>
    </row>
    <row r="112" spans="1:12" ht="15.75" customHeight="1">
      <c r="A112" s="2">
        <f t="shared" si="0"/>
        <v>111</v>
      </c>
      <c r="B112" s="2">
        <v>117</v>
      </c>
      <c r="C112" s="2" t="s">
        <v>891</v>
      </c>
      <c r="D112" s="2" t="s">
        <v>892</v>
      </c>
      <c r="E112" s="2" t="s">
        <v>598</v>
      </c>
      <c r="F112" s="2" t="s">
        <v>893</v>
      </c>
      <c r="G112" s="2" t="s">
        <v>894</v>
      </c>
      <c r="H112" s="2" t="s">
        <v>64</v>
      </c>
      <c r="I112" s="2" t="s">
        <v>895</v>
      </c>
      <c r="J112" s="2" t="s">
        <v>896</v>
      </c>
      <c r="K112" s="2" t="s">
        <v>223</v>
      </c>
      <c r="L112" s="2" t="s">
        <v>897</v>
      </c>
    </row>
    <row r="113" spans="1:12" ht="15.75" customHeight="1">
      <c r="A113" s="2">
        <f t="shared" si="0"/>
        <v>112</v>
      </c>
      <c r="B113" s="2">
        <v>118</v>
      </c>
      <c r="C113" s="2" t="s">
        <v>898</v>
      </c>
      <c r="D113" s="2" t="s">
        <v>899</v>
      </c>
      <c r="E113" s="2" t="s">
        <v>900</v>
      </c>
      <c r="F113" s="2" t="s">
        <v>901</v>
      </c>
      <c r="G113" s="2" t="s">
        <v>902</v>
      </c>
      <c r="H113" s="2" t="s">
        <v>64</v>
      </c>
      <c r="J113" s="2" t="s">
        <v>903</v>
      </c>
      <c r="K113" s="2" t="s">
        <v>223</v>
      </c>
      <c r="L113" s="2" t="s">
        <v>904</v>
      </c>
    </row>
    <row r="114" spans="1:12" ht="15.75" customHeight="1">
      <c r="A114" s="2">
        <f t="shared" si="0"/>
        <v>113</v>
      </c>
      <c r="B114" s="2">
        <v>119</v>
      </c>
      <c r="C114" s="2" t="s">
        <v>905</v>
      </c>
      <c r="D114" s="2" t="s">
        <v>906</v>
      </c>
      <c r="E114" s="2" t="s">
        <v>907</v>
      </c>
      <c r="F114" s="2" t="s">
        <v>908</v>
      </c>
      <c r="G114" s="2" t="s">
        <v>909</v>
      </c>
      <c r="H114" s="2" t="s">
        <v>64</v>
      </c>
      <c r="I114" s="2" t="s">
        <v>910</v>
      </c>
      <c r="J114" s="2" t="s">
        <v>911</v>
      </c>
      <c r="K114" s="2" t="s">
        <v>912</v>
      </c>
      <c r="L114" s="2" t="s">
        <v>913</v>
      </c>
    </row>
    <row r="115" spans="1:12" ht="15.75" customHeight="1">
      <c r="A115" s="2">
        <f t="shared" si="0"/>
        <v>114</v>
      </c>
      <c r="B115" s="2">
        <v>120</v>
      </c>
      <c r="C115" s="2" t="s">
        <v>914</v>
      </c>
      <c r="D115" s="2" t="s">
        <v>915</v>
      </c>
      <c r="E115" s="2" t="s">
        <v>916</v>
      </c>
      <c r="F115" s="2" t="s">
        <v>917</v>
      </c>
      <c r="G115" s="2" t="s">
        <v>918</v>
      </c>
      <c r="H115" s="2" t="s">
        <v>64</v>
      </c>
      <c r="J115" s="2" t="s">
        <v>919</v>
      </c>
      <c r="K115" s="2" t="s">
        <v>920</v>
      </c>
      <c r="L115" s="2" t="s">
        <v>921</v>
      </c>
    </row>
    <row r="116" spans="1:12" ht="15.75" customHeight="1">
      <c r="A116" s="2">
        <f t="shared" si="0"/>
        <v>115</v>
      </c>
      <c r="B116" s="2">
        <v>121</v>
      </c>
      <c r="C116" s="2" t="s">
        <v>922</v>
      </c>
      <c r="D116" s="2" t="s">
        <v>923</v>
      </c>
      <c r="E116" s="2" t="s">
        <v>498</v>
      </c>
      <c r="F116" s="2" t="s">
        <v>924</v>
      </c>
      <c r="G116" s="2" t="s">
        <v>925</v>
      </c>
      <c r="H116" s="2" t="s">
        <v>64</v>
      </c>
      <c r="J116" s="2" t="s">
        <v>926</v>
      </c>
      <c r="K116" s="2" t="s">
        <v>927</v>
      </c>
      <c r="L116" s="2" t="s">
        <v>928</v>
      </c>
    </row>
    <row r="117" spans="1:12" ht="15.75" customHeight="1">
      <c r="A117" s="2">
        <f t="shared" si="0"/>
        <v>116</v>
      </c>
      <c r="B117" s="2">
        <v>122</v>
      </c>
      <c r="C117" s="2" t="s">
        <v>929</v>
      </c>
      <c r="D117" s="2" t="s">
        <v>930</v>
      </c>
      <c r="E117" s="2" t="s">
        <v>442</v>
      </c>
      <c r="F117" s="2" t="s">
        <v>931</v>
      </c>
      <c r="G117" s="2" t="s">
        <v>932</v>
      </c>
      <c r="H117" s="2" t="s">
        <v>18</v>
      </c>
      <c r="I117" s="2" t="s">
        <v>933</v>
      </c>
      <c r="J117" s="2" t="s">
        <v>934</v>
      </c>
      <c r="K117" s="2" t="s">
        <v>889</v>
      </c>
      <c r="L117" s="2" t="s">
        <v>935</v>
      </c>
    </row>
    <row r="118" spans="1:12" ht="15.75" customHeight="1">
      <c r="A118" s="2">
        <f t="shared" si="0"/>
        <v>117</v>
      </c>
      <c r="B118" s="2">
        <v>123</v>
      </c>
      <c r="C118" s="2" t="s">
        <v>936</v>
      </c>
      <c r="D118" s="2" t="s">
        <v>937</v>
      </c>
      <c r="E118" s="2" t="s">
        <v>589</v>
      </c>
      <c r="F118" s="2" t="s">
        <v>938</v>
      </c>
      <c r="G118" s="2" t="s">
        <v>939</v>
      </c>
      <c r="H118" s="2" t="s">
        <v>18</v>
      </c>
      <c r="I118" s="2" t="s">
        <v>940</v>
      </c>
      <c r="J118" s="2" t="s">
        <v>941</v>
      </c>
      <c r="K118" s="2" t="s">
        <v>223</v>
      </c>
      <c r="L118" s="2" t="s">
        <v>942</v>
      </c>
    </row>
    <row r="119" spans="1:12" ht="15.75" customHeight="1">
      <c r="A119" s="2">
        <f t="shared" si="0"/>
        <v>118</v>
      </c>
      <c r="B119" s="2">
        <v>124</v>
      </c>
      <c r="C119" s="2" t="s">
        <v>943</v>
      </c>
      <c r="D119" s="2" t="s">
        <v>944</v>
      </c>
      <c r="E119" s="2" t="s">
        <v>607</v>
      </c>
      <c r="F119" s="2" t="s">
        <v>945</v>
      </c>
      <c r="G119" s="2" t="s">
        <v>946</v>
      </c>
      <c r="H119" s="2" t="s">
        <v>18</v>
      </c>
      <c r="J119" s="2" t="s">
        <v>947</v>
      </c>
      <c r="K119" s="2" t="s">
        <v>948</v>
      </c>
      <c r="L119" s="2" t="s">
        <v>949</v>
      </c>
    </row>
    <row r="120" spans="1:12" ht="15.75" customHeight="1">
      <c r="A120" s="2">
        <f t="shared" si="0"/>
        <v>119</v>
      </c>
      <c r="B120" s="2">
        <v>125</v>
      </c>
      <c r="C120" s="2" t="s">
        <v>950</v>
      </c>
      <c r="D120" s="2" t="s">
        <v>951</v>
      </c>
      <c r="E120" s="2" t="s">
        <v>52</v>
      </c>
      <c r="F120" s="2" t="s">
        <v>952</v>
      </c>
      <c r="G120" s="2" t="s">
        <v>953</v>
      </c>
      <c r="H120" s="2" t="s">
        <v>64</v>
      </c>
      <c r="J120" s="2" t="s">
        <v>954</v>
      </c>
      <c r="K120" s="2" t="s">
        <v>955</v>
      </c>
      <c r="L120" s="2" t="s">
        <v>956</v>
      </c>
    </row>
    <row r="121" spans="1:12" ht="15.75" customHeight="1">
      <c r="A121" s="2">
        <f t="shared" si="0"/>
        <v>120</v>
      </c>
      <c r="B121" s="2">
        <v>126</v>
      </c>
      <c r="C121" s="2" t="s">
        <v>957</v>
      </c>
      <c r="D121" s="2" t="s">
        <v>958</v>
      </c>
      <c r="E121" s="2" t="s">
        <v>442</v>
      </c>
      <c r="F121" s="2" t="s">
        <v>959</v>
      </c>
      <c r="G121" s="2" t="s">
        <v>960</v>
      </c>
      <c r="H121" s="2" t="s">
        <v>18</v>
      </c>
      <c r="I121" s="2" t="s">
        <v>961</v>
      </c>
      <c r="J121" s="2" t="s">
        <v>962</v>
      </c>
      <c r="K121" s="2" t="s">
        <v>223</v>
      </c>
      <c r="L121" s="2" t="s">
        <v>963</v>
      </c>
    </row>
    <row r="122" spans="1:12" ht="15.75" customHeight="1">
      <c r="A122" s="2">
        <f t="shared" si="0"/>
        <v>121</v>
      </c>
      <c r="B122" s="2">
        <v>127</v>
      </c>
      <c r="C122" s="2" t="s">
        <v>964</v>
      </c>
      <c r="D122" s="2" t="s">
        <v>965</v>
      </c>
      <c r="E122" s="2" t="s">
        <v>15</v>
      </c>
      <c r="F122" s="2" t="s">
        <v>966</v>
      </c>
      <c r="G122" s="2" t="s">
        <v>967</v>
      </c>
      <c r="H122" s="2" t="s">
        <v>18</v>
      </c>
      <c r="I122" s="2" t="s">
        <v>968</v>
      </c>
      <c r="J122" s="2" t="s">
        <v>969</v>
      </c>
      <c r="K122" s="2" t="s">
        <v>970</v>
      </c>
      <c r="L122" s="2" t="s">
        <v>971</v>
      </c>
    </row>
    <row r="123" spans="1:12" ht="15.75" customHeight="1">
      <c r="A123" s="2">
        <f t="shared" si="0"/>
        <v>122</v>
      </c>
      <c r="B123" s="2">
        <v>128</v>
      </c>
      <c r="C123" s="2" t="s">
        <v>972</v>
      </c>
      <c r="D123" s="2" t="s">
        <v>973</v>
      </c>
      <c r="E123" s="2" t="s">
        <v>227</v>
      </c>
      <c r="F123" s="2" t="s">
        <v>974</v>
      </c>
      <c r="G123" s="2" t="s">
        <v>975</v>
      </c>
      <c r="H123" s="2" t="s">
        <v>18</v>
      </c>
      <c r="I123" s="2" t="s">
        <v>976</v>
      </c>
      <c r="J123" s="2" t="s">
        <v>977</v>
      </c>
      <c r="K123" s="2" t="s">
        <v>978</v>
      </c>
      <c r="L123" s="2" t="s">
        <v>979</v>
      </c>
    </row>
    <row r="124" spans="1:12" ht="15.75" customHeight="1">
      <c r="A124" s="2">
        <f t="shared" si="0"/>
        <v>123</v>
      </c>
      <c r="B124" s="2">
        <v>129</v>
      </c>
      <c r="C124" s="2" t="s">
        <v>980</v>
      </c>
      <c r="D124" s="2" t="s">
        <v>981</v>
      </c>
      <c r="E124" s="2" t="s">
        <v>33</v>
      </c>
      <c r="F124" s="2" t="s">
        <v>982</v>
      </c>
      <c r="G124" s="2" t="s">
        <v>983</v>
      </c>
      <c r="H124" s="2" t="s">
        <v>64</v>
      </c>
      <c r="I124" s="2" t="s">
        <v>984</v>
      </c>
      <c r="J124" s="2" t="s">
        <v>985</v>
      </c>
      <c r="K124" s="2" t="s">
        <v>986</v>
      </c>
      <c r="L124" s="2" t="s">
        <v>987</v>
      </c>
    </row>
    <row r="125" spans="1:12" ht="15.75" customHeight="1">
      <c r="A125" s="2">
        <f t="shared" si="0"/>
        <v>124</v>
      </c>
      <c r="B125" s="2">
        <v>130</v>
      </c>
      <c r="C125" s="2" t="s">
        <v>988</v>
      </c>
      <c r="D125" s="2" t="s">
        <v>989</v>
      </c>
      <c r="E125" s="2" t="s">
        <v>33</v>
      </c>
      <c r="F125" s="2" t="s">
        <v>990</v>
      </c>
      <c r="G125" s="2" t="s">
        <v>991</v>
      </c>
      <c r="H125" s="2" t="s">
        <v>64</v>
      </c>
      <c r="I125" s="2" t="s">
        <v>992</v>
      </c>
      <c r="J125" s="2" t="s">
        <v>993</v>
      </c>
      <c r="K125" s="2" t="s">
        <v>994</v>
      </c>
      <c r="L125" s="2" t="s">
        <v>995</v>
      </c>
    </row>
    <row r="126" spans="1:12" ht="15.75" customHeight="1">
      <c r="A126" s="2">
        <f t="shared" si="0"/>
        <v>125</v>
      </c>
      <c r="B126" s="2">
        <v>131</v>
      </c>
      <c r="C126" s="2" t="s">
        <v>996</v>
      </c>
      <c r="D126" s="2" t="s">
        <v>997</v>
      </c>
      <c r="E126" s="2" t="s">
        <v>33</v>
      </c>
      <c r="F126" s="2" t="s">
        <v>998</v>
      </c>
      <c r="G126" s="2" t="s">
        <v>999</v>
      </c>
      <c r="H126" s="2" t="s">
        <v>18</v>
      </c>
      <c r="I126" s="2" t="s">
        <v>1000</v>
      </c>
      <c r="J126" s="2" t="s">
        <v>1001</v>
      </c>
      <c r="K126" s="2" t="s">
        <v>1002</v>
      </c>
      <c r="L126" s="2" t="s">
        <v>1003</v>
      </c>
    </row>
    <row r="127" spans="1:12" ht="15.75" customHeight="1">
      <c r="A127" s="2">
        <f t="shared" si="0"/>
        <v>126</v>
      </c>
      <c r="B127" s="2">
        <v>132</v>
      </c>
      <c r="C127" s="2" t="s">
        <v>1004</v>
      </c>
      <c r="D127" s="2" t="s">
        <v>1005</v>
      </c>
      <c r="E127" s="2" t="s">
        <v>900</v>
      </c>
      <c r="F127" s="2" t="s">
        <v>1006</v>
      </c>
      <c r="G127" s="2" t="s">
        <v>902</v>
      </c>
      <c r="H127" s="2" t="s">
        <v>45</v>
      </c>
      <c r="I127" s="2" t="s">
        <v>1007</v>
      </c>
      <c r="J127" s="2" t="s">
        <v>1008</v>
      </c>
      <c r="K127" s="2" t="s">
        <v>1009</v>
      </c>
      <c r="L127" s="2" t="s">
        <v>1010</v>
      </c>
    </row>
    <row r="128" spans="1:12" ht="15.75" customHeight="1">
      <c r="A128" s="2">
        <f t="shared" si="0"/>
        <v>127</v>
      </c>
      <c r="B128" s="2">
        <v>133</v>
      </c>
      <c r="C128" s="2" t="s">
        <v>1011</v>
      </c>
      <c r="D128" s="2" t="s">
        <v>1012</v>
      </c>
      <c r="E128" s="2" t="s">
        <v>900</v>
      </c>
      <c r="F128" s="2" t="s">
        <v>1013</v>
      </c>
      <c r="G128" s="2" t="s">
        <v>902</v>
      </c>
      <c r="H128" s="2" t="s">
        <v>45</v>
      </c>
      <c r="I128" s="2" t="s">
        <v>1014</v>
      </c>
      <c r="J128" s="2" t="s">
        <v>1015</v>
      </c>
      <c r="K128" s="2" t="s">
        <v>1016</v>
      </c>
      <c r="L128" s="2" t="s">
        <v>1017</v>
      </c>
    </row>
    <row r="129" spans="1:12" ht="15.75" customHeight="1">
      <c r="A129" s="2">
        <f t="shared" si="0"/>
        <v>128</v>
      </c>
      <c r="B129" s="2">
        <v>134</v>
      </c>
      <c r="C129" s="2" t="s">
        <v>1018</v>
      </c>
      <c r="D129" s="2" t="s">
        <v>1019</v>
      </c>
      <c r="E129" s="2" t="s">
        <v>1020</v>
      </c>
      <c r="F129" s="2" t="s">
        <v>1021</v>
      </c>
      <c r="G129" s="2" t="s">
        <v>1022</v>
      </c>
      <c r="H129" s="2" t="s">
        <v>45</v>
      </c>
      <c r="I129" s="2" t="s">
        <v>1023</v>
      </c>
      <c r="J129" s="2" t="s">
        <v>1024</v>
      </c>
      <c r="K129" s="2" t="s">
        <v>889</v>
      </c>
      <c r="L129" s="2" t="s">
        <v>1025</v>
      </c>
    </row>
    <row r="130" spans="1:12" ht="15.75" customHeight="1">
      <c r="A130" s="2">
        <f t="shared" si="0"/>
        <v>129</v>
      </c>
      <c r="B130" s="2">
        <v>135</v>
      </c>
      <c r="C130" s="2" t="s">
        <v>1026</v>
      </c>
      <c r="D130" s="2" t="s">
        <v>1027</v>
      </c>
      <c r="E130" s="2" t="s">
        <v>104</v>
      </c>
      <c r="F130" s="2" t="s">
        <v>1028</v>
      </c>
      <c r="G130" s="2" t="s">
        <v>1029</v>
      </c>
      <c r="H130" s="2" t="s">
        <v>18</v>
      </c>
      <c r="I130" s="2" t="s">
        <v>1030</v>
      </c>
      <c r="J130" s="2" t="s">
        <v>1031</v>
      </c>
      <c r="K130" s="2" t="s">
        <v>1032</v>
      </c>
      <c r="L130" s="2" t="s">
        <v>1033</v>
      </c>
    </row>
    <row r="131" spans="1:12" ht="15.75" customHeight="1">
      <c r="A131" s="2">
        <f t="shared" si="0"/>
        <v>130</v>
      </c>
      <c r="B131" s="2">
        <v>136</v>
      </c>
      <c r="C131" s="2" t="s">
        <v>1034</v>
      </c>
      <c r="D131" s="2" t="s">
        <v>1035</v>
      </c>
      <c r="E131" s="2" t="s">
        <v>33</v>
      </c>
      <c r="F131" s="2" t="s">
        <v>1036</v>
      </c>
      <c r="G131" s="2" t="s">
        <v>1037</v>
      </c>
      <c r="H131" s="2" t="s">
        <v>64</v>
      </c>
      <c r="I131" s="2" t="s">
        <v>1038</v>
      </c>
      <c r="J131" s="2" t="s">
        <v>1039</v>
      </c>
      <c r="K131" s="2" t="s">
        <v>1040</v>
      </c>
      <c r="L131" s="2" t="s">
        <v>1041</v>
      </c>
    </row>
    <row r="132" spans="1:12" ht="15.75" customHeight="1">
      <c r="A132" s="2">
        <f t="shared" si="0"/>
        <v>131</v>
      </c>
      <c r="B132" s="2">
        <v>137</v>
      </c>
      <c r="C132" s="2" t="s">
        <v>1042</v>
      </c>
      <c r="D132" s="2" t="s">
        <v>1043</v>
      </c>
      <c r="E132" s="2" t="s">
        <v>33</v>
      </c>
      <c r="F132" s="2" t="s">
        <v>1044</v>
      </c>
      <c r="G132" s="2" t="s">
        <v>1045</v>
      </c>
      <c r="H132" s="2" t="s">
        <v>45</v>
      </c>
      <c r="I132" s="2" t="s">
        <v>1046</v>
      </c>
      <c r="J132" s="2" t="s">
        <v>1047</v>
      </c>
      <c r="K132" s="2" t="s">
        <v>1048</v>
      </c>
      <c r="L132" s="2" t="s">
        <v>1049</v>
      </c>
    </row>
    <row r="133" spans="1:12" ht="15.75" customHeight="1">
      <c r="A133" s="2">
        <f t="shared" si="0"/>
        <v>132</v>
      </c>
      <c r="B133" s="2">
        <v>138</v>
      </c>
      <c r="C133" s="2" t="s">
        <v>1050</v>
      </c>
      <c r="D133" s="2" t="s">
        <v>1051</v>
      </c>
      <c r="E133" s="2" t="s">
        <v>129</v>
      </c>
      <c r="F133" s="2" t="s">
        <v>1052</v>
      </c>
      <c r="G133" s="2" t="s">
        <v>1053</v>
      </c>
      <c r="H133" s="2" t="s">
        <v>45</v>
      </c>
      <c r="I133" s="2" t="s">
        <v>1054</v>
      </c>
      <c r="J133" s="2" t="s">
        <v>1055</v>
      </c>
      <c r="K133" s="2" t="s">
        <v>1056</v>
      </c>
      <c r="L133" s="2" t="s">
        <v>1057</v>
      </c>
    </row>
    <row r="134" spans="1:12" ht="15.75" customHeight="1">
      <c r="A134" s="2">
        <f t="shared" si="0"/>
        <v>133</v>
      </c>
      <c r="B134" s="2">
        <v>139</v>
      </c>
      <c r="C134" s="2" t="s">
        <v>1058</v>
      </c>
      <c r="D134" s="2" t="s">
        <v>1059</v>
      </c>
      <c r="E134" s="2" t="s">
        <v>61</v>
      </c>
      <c r="F134" s="2" t="s">
        <v>1060</v>
      </c>
      <c r="G134" s="2" t="s">
        <v>1061</v>
      </c>
      <c r="H134" s="2" t="s">
        <v>45</v>
      </c>
      <c r="I134" s="2" t="s">
        <v>1062</v>
      </c>
      <c r="J134" s="2" t="s">
        <v>1063</v>
      </c>
      <c r="K134" s="2" t="s">
        <v>1064</v>
      </c>
      <c r="L134" s="2" t="s">
        <v>1065</v>
      </c>
    </row>
    <row r="135" spans="1:12" ht="15.75" customHeight="1">
      <c r="A135" s="2">
        <f t="shared" si="0"/>
        <v>134</v>
      </c>
      <c r="B135" s="2">
        <v>140</v>
      </c>
      <c r="C135" s="2" t="s">
        <v>1066</v>
      </c>
      <c r="D135" s="2" t="s">
        <v>1067</v>
      </c>
      <c r="E135" s="2" t="s">
        <v>227</v>
      </c>
      <c r="F135" s="2" t="s">
        <v>1068</v>
      </c>
      <c r="G135" s="2" t="s">
        <v>1069</v>
      </c>
      <c r="H135" s="2" t="s">
        <v>45</v>
      </c>
      <c r="I135" s="2" t="s">
        <v>1070</v>
      </c>
      <c r="J135" s="2" t="s">
        <v>1071</v>
      </c>
      <c r="K135" s="2" t="s">
        <v>1072</v>
      </c>
      <c r="L135" s="2" t="s">
        <v>1073</v>
      </c>
    </row>
    <row r="136" spans="1:12" ht="15.75" customHeight="1">
      <c r="A136" s="2">
        <f t="shared" si="0"/>
        <v>135</v>
      </c>
      <c r="B136" s="2">
        <v>141</v>
      </c>
      <c r="C136" s="2" t="s">
        <v>1074</v>
      </c>
      <c r="D136" s="2" t="s">
        <v>1075</v>
      </c>
      <c r="E136" s="2" t="s">
        <v>480</v>
      </c>
      <c r="F136" s="2" t="s">
        <v>1076</v>
      </c>
      <c r="G136" s="2" t="s">
        <v>1077</v>
      </c>
      <c r="H136" s="2" t="s">
        <v>45</v>
      </c>
      <c r="I136" s="2" t="s">
        <v>1078</v>
      </c>
      <c r="J136" s="2" t="s">
        <v>1079</v>
      </c>
      <c r="K136" s="2" t="s">
        <v>1080</v>
      </c>
      <c r="L136" s="2" t="s">
        <v>1081</v>
      </c>
    </row>
    <row r="137" spans="1:12" ht="15.75" customHeight="1">
      <c r="A137" s="2">
        <f t="shared" si="0"/>
        <v>136</v>
      </c>
      <c r="B137" s="2">
        <v>142</v>
      </c>
      <c r="C137" s="2" t="s">
        <v>1082</v>
      </c>
      <c r="D137" s="2" t="s">
        <v>1083</v>
      </c>
      <c r="E137" s="2" t="s">
        <v>162</v>
      </c>
      <c r="F137" s="2" t="s">
        <v>1084</v>
      </c>
      <c r="G137" s="2" t="s">
        <v>1085</v>
      </c>
      <c r="H137" s="2" t="s">
        <v>45</v>
      </c>
      <c r="I137" s="2" t="s">
        <v>1086</v>
      </c>
      <c r="J137" s="2" t="s">
        <v>1087</v>
      </c>
      <c r="K137" s="2" t="s">
        <v>1088</v>
      </c>
      <c r="L137" s="2" t="s">
        <v>1089</v>
      </c>
    </row>
    <row r="138" spans="1:12" ht="15.75" customHeight="1">
      <c r="A138" s="2">
        <f t="shared" si="0"/>
        <v>137</v>
      </c>
      <c r="B138" s="2">
        <v>143</v>
      </c>
      <c r="C138" s="2" t="s">
        <v>1090</v>
      </c>
      <c r="D138" s="2" t="s">
        <v>1091</v>
      </c>
      <c r="E138" s="2" t="s">
        <v>373</v>
      </c>
      <c r="F138" s="2" t="s">
        <v>1092</v>
      </c>
      <c r="G138" s="2" t="s">
        <v>1093</v>
      </c>
      <c r="H138" s="2" t="s">
        <v>45</v>
      </c>
      <c r="I138" s="2" t="s">
        <v>1094</v>
      </c>
      <c r="J138" s="2" t="s">
        <v>1095</v>
      </c>
      <c r="K138" s="2" t="s">
        <v>1096</v>
      </c>
      <c r="L138" s="2" t="s">
        <v>1097</v>
      </c>
    </row>
    <row r="139" spans="1:12" ht="15.75" customHeight="1">
      <c r="A139" s="2">
        <f t="shared" si="0"/>
        <v>138</v>
      </c>
      <c r="B139" s="2">
        <v>144</v>
      </c>
      <c r="C139" s="2" t="s">
        <v>1098</v>
      </c>
      <c r="D139" s="2" t="s">
        <v>1099</v>
      </c>
      <c r="E139" s="2" t="s">
        <v>162</v>
      </c>
      <c r="F139" s="2" t="s">
        <v>1100</v>
      </c>
      <c r="G139" s="2" t="s">
        <v>1101</v>
      </c>
      <c r="H139" s="2" t="s">
        <v>45</v>
      </c>
      <c r="I139" s="2" t="s">
        <v>1102</v>
      </c>
      <c r="J139" s="2" t="s">
        <v>1103</v>
      </c>
      <c r="K139" s="2" t="s">
        <v>1104</v>
      </c>
      <c r="L139" s="2" t="s">
        <v>1105</v>
      </c>
    </row>
    <row r="140" spans="1:12" ht="15.75" customHeight="1">
      <c r="A140" s="2">
        <f t="shared" si="0"/>
        <v>139</v>
      </c>
      <c r="B140" s="2">
        <v>145</v>
      </c>
      <c r="C140" s="2" t="s">
        <v>1106</v>
      </c>
      <c r="D140" s="2" t="s">
        <v>1107</v>
      </c>
      <c r="E140" s="2" t="s">
        <v>113</v>
      </c>
      <c r="F140" s="2" t="s">
        <v>1108</v>
      </c>
      <c r="G140" s="2" t="s">
        <v>1109</v>
      </c>
      <c r="H140" s="2" t="s">
        <v>45</v>
      </c>
      <c r="I140" s="2" t="s">
        <v>1110</v>
      </c>
      <c r="J140" s="2" t="s">
        <v>1111</v>
      </c>
      <c r="K140" s="2" t="s">
        <v>1112</v>
      </c>
      <c r="L140" s="2" t="s">
        <v>1113</v>
      </c>
    </row>
    <row r="141" spans="1:12" ht="15.75" customHeight="1">
      <c r="A141" s="2">
        <f t="shared" si="0"/>
        <v>140</v>
      </c>
      <c r="B141" s="2">
        <v>146</v>
      </c>
      <c r="C141" s="2" t="s">
        <v>1114</v>
      </c>
      <c r="D141" s="2" t="s">
        <v>1115</v>
      </c>
      <c r="E141" s="2" t="s">
        <v>79</v>
      </c>
      <c r="F141" s="2" t="s">
        <v>1116</v>
      </c>
      <c r="G141" s="2" t="s">
        <v>1117</v>
      </c>
      <c r="H141" s="2" t="s">
        <v>45</v>
      </c>
      <c r="I141" s="2" t="s">
        <v>1118</v>
      </c>
      <c r="J141" s="2" t="s">
        <v>1119</v>
      </c>
      <c r="K141" s="2" t="s">
        <v>1120</v>
      </c>
      <c r="L141" s="2" t="s">
        <v>1121</v>
      </c>
    </row>
    <row r="142" spans="1:12" ht="15.75" customHeight="1">
      <c r="A142" s="2">
        <f t="shared" si="0"/>
        <v>141</v>
      </c>
      <c r="B142" s="2">
        <v>147</v>
      </c>
      <c r="C142" s="2" t="s">
        <v>1122</v>
      </c>
      <c r="D142" s="2" t="s">
        <v>1123</v>
      </c>
      <c r="E142" s="2" t="s">
        <v>555</v>
      </c>
      <c r="F142" s="2" t="s">
        <v>1124</v>
      </c>
      <c r="G142" s="2" t="s">
        <v>1125</v>
      </c>
      <c r="H142" s="2" t="s">
        <v>45</v>
      </c>
      <c r="I142" s="2" t="s">
        <v>1126</v>
      </c>
      <c r="J142" s="2" t="s">
        <v>1127</v>
      </c>
      <c r="K142" s="2" t="s">
        <v>1128</v>
      </c>
      <c r="L142" s="2" t="s">
        <v>1129</v>
      </c>
    </row>
    <row r="143" spans="1:12" ht="15.75" customHeight="1">
      <c r="A143" s="2">
        <f t="shared" si="0"/>
        <v>142</v>
      </c>
      <c r="B143" s="2">
        <v>148</v>
      </c>
      <c r="C143" s="2" t="s">
        <v>1130</v>
      </c>
      <c r="D143" s="2" t="s">
        <v>1131</v>
      </c>
      <c r="E143" s="2" t="s">
        <v>373</v>
      </c>
      <c r="F143" s="2" t="s">
        <v>1132</v>
      </c>
      <c r="G143" s="2" t="s">
        <v>1133</v>
      </c>
      <c r="H143" s="2" t="s">
        <v>45</v>
      </c>
      <c r="I143" s="2" t="s">
        <v>1134</v>
      </c>
      <c r="J143" s="2" t="s">
        <v>1135</v>
      </c>
      <c r="K143" s="2" t="s">
        <v>1136</v>
      </c>
      <c r="L143" s="2" t="s">
        <v>1137</v>
      </c>
    </row>
    <row r="144" spans="1:12" ht="15.75" customHeight="1">
      <c r="A144" s="2">
        <f t="shared" si="0"/>
        <v>143</v>
      </c>
      <c r="B144" s="2">
        <v>149</v>
      </c>
      <c r="C144" s="2" t="s">
        <v>1138</v>
      </c>
      <c r="D144" s="2" t="s">
        <v>1139</v>
      </c>
      <c r="E144" s="2" t="s">
        <v>61</v>
      </c>
      <c r="F144" s="2" t="s">
        <v>1140</v>
      </c>
      <c r="G144" s="2" t="s">
        <v>1141</v>
      </c>
      <c r="H144" s="2" t="s">
        <v>45</v>
      </c>
      <c r="I144" s="2" t="s">
        <v>1142</v>
      </c>
      <c r="J144" s="2" t="s">
        <v>1143</v>
      </c>
      <c r="K144" s="2" t="s">
        <v>1144</v>
      </c>
      <c r="L144" s="2" t="s">
        <v>1145</v>
      </c>
    </row>
    <row r="145" spans="1:12" ht="15.75" customHeight="1">
      <c r="A145" s="2">
        <f t="shared" si="0"/>
        <v>144</v>
      </c>
      <c r="B145" s="2">
        <v>150</v>
      </c>
      <c r="C145" s="2" t="s">
        <v>1146</v>
      </c>
      <c r="D145" s="2" t="s">
        <v>1147</v>
      </c>
      <c r="E145" s="2" t="s">
        <v>33</v>
      </c>
      <c r="F145" s="2" t="s">
        <v>1148</v>
      </c>
      <c r="G145" s="2" t="s">
        <v>1149</v>
      </c>
      <c r="H145" s="2" t="s">
        <v>18</v>
      </c>
      <c r="I145" s="2" t="s">
        <v>1150</v>
      </c>
      <c r="J145" s="2" t="s">
        <v>1151</v>
      </c>
      <c r="K145" s="2" t="s">
        <v>912</v>
      </c>
      <c r="L145" s="2" t="s">
        <v>1152</v>
      </c>
    </row>
    <row r="146" spans="1:12" ht="15.75" customHeight="1">
      <c r="A146" s="2">
        <f t="shared" si="0"/>
        <v>145</v>
      </c>
      <c r="B146" s="2">
        <v>151</v>
      </c>
      <c r="C146" s="2" t="s">
        <v>1153</v>
      </c>
      <c r="D146" s="2" t="s">
        <v>1154</v>
      </c>
      <c r="E146" s="2" t="s">
        <v>113</v>
      </c>
      <c r="F146" s="2" t="s">
        <v>1155</v>
      </c>
      <c r="G146" s="2" t="s">
        <v>1156</v>
      </c>
      <c r="H146" s="2" t="s">
        <v>45</v>
      </c>
      <c r="I146" s="2" t="s">
        <v>1157</v>
      </c>
      <c r="J146" s="2" t="s">
        <v>1158</v>
      </c>
      <c r="K146" s="2" t="s">
        <v>1159</v>
      </c>
      <c r="L146" s="2" t="s">
        <v>1160</v>
      </c>
    </row>
    <row r="147" spans="1:12" ht="15.75" customHeight="1">
      <c r="A147" s="2">
        <f t="shared" si="0"/>
        <v>146</v>
      </c>
      <c r="B147" s="2">
        <v>152</v>
      </c>
      <c r="C147" s="2" t="s">
        <v>1161</v>
      </c>
      <c r="D147" s="2" t="s">
        <v>1162</v>
      </c>
      <c r="E147" s="2" t="s">
        <v>113</v>
      </c>
      <c r="F147" s="2" t="s">
        <v>1163</v>
      </c>
      <c r="G147" s="2" t="s">
        <v>1164</v>
      </c>
      <c r="H147" s="2" t="s">
        <v>45</v>
      </c>
      <c r="I147" s="2" t="s">
        <v>1165</v>
      </c>
      <c r="J147" s="2" t="s">
        <v>1166</v>
      </c>
      <c r="K147" s="2" t="s">
        <v>1167</v>
      </c>
      <c r="L147" s="2" t="s">
        <v>1168</v>
      </c>
    </row>
    <row r="148" spans="1:12" ht="15.75" customHeight="1">
      <c r="A148" s="2">
        <f t="shared" si="0"/>
        <v>147</v>
      </c>
      <c r="B148" s="2">
        <v>153</v>
      </c>
      <c r="C148" s="2" t="s">
        <v>1169</v>
      </c>
      <c r="D148" s="2" t="s">
        <v>1170</v>
      </c>
      <c r="E148" s="2" t="s">
        <v>137</v>
      </c>
      <c r="F148" s="2" t="s">
        <v>1171</v>
      </c>
      <c r="G148" s="2" t="s">
        <v>1172</v>
      </c>
      <c r="H148" s="2" t="s">
        <v>45</v>
      </c>
      <c r="I148" s="2" t="s">
        <v>1173</v>
      </c>
      <c r="J148" s="2" t="s">
        <v>1174</v>
      </c>
      <c r="K148" s="2" t="s">
        <v>1175</v>
      </c>
      <c r="L148" s="2" t="s">
        <v>1176</v>
      </c>
    </row>
    <row r="149" spans="1:12" ht="15.75" customHeight="1">
      <c r="A149" s="2">
        <f t="shared" si="0"/>
        <v>148</v>
      </c>
      <c r="B149" s="2">
        <v>154</v>
      </c>
      <c r="C149" s="2" t="s">
        <v>1177</v>
      </c>
      <c r="D149" s="2" t="s">
        <v>1178</v>
      </c>
      <c r="E149" s="2" t="s">
        <v>33</v>
      </c>
      <c r="F149" s="2" t="s">
        <v>1179</v>
      </c>
      <c r="G149" s="2" t="s">
        <v>1180</v>
      </c>
      <c r="H149" s="2" t="s">
        <v>45</v>
      </c>
      <c r="I149" s="2" t="s">
        <v>1181</v>
      </c>
      <c r="J149" s="2" t="s">
        <v>1182</v>
      </c>
      <c r="K149" s="2" t="s">
        <v>223</v>
      </c>
      <c r="L149" s="2" t="s">
        <v>1183</v>
      </c>
    </row>
    <row r="150" spans="1:12" ht="15.75" customHeight="1">
      <c r="A150" s="2">
        <f t="shared" si="0"/>
        <v>149</v>
      </c>
      <c r="B150" s="2">
        <v>155</v>
      </c>
      <c r="C150" s="2" t="s">
        <v>1184</v>
      </c>
      <c r="D150" s="2" t="s">
        <v>1185</v>
      </c>
      <c r="E150" s="2" t="s">
        <v>305</v>
      </c>
      <c r="F150" s="2" t="s">
        <v>1186</v>
      </c>
      <c r="G150" s="2" t="s">
        <v>1187</v>
      </c>
      <c r="H150" s="2" t="s">
        <v>18</v>
      </c>
      <c r="J150" s="2" t="s">
        <v>1188</v>
      </c>
      <c r="K150" s="2" t="s">
        <v>1189</v>
      </c>
      <c r="L150" s="2" t="s">
        <v>1190</v>
      </c>
    </row>
    <row r="151" spans="1:12" ht="15.75" customHeight="1">
      <c r="A151" s="2">
        <f t="shared" si="0"/>
        <v>150</v>
      </c>
      <c r="B151" s="2">
        <v>156</v>
      </c>
      <c r="C151" s="2" t="s">
        <v>1191</v>
      </c>
      <c r="D151" s="2" t="s">
        <v>1192</v>
      </c>
      <c r="E151" s="2" t="s">
        <v>25</v>
      </c>
      <c r="F151" s="2" t="s">
        <v>1193</v>
      </c>
      <c r="G151" s="2" t="s">
        <v>1194</v>
      </c>
      <c r="H151" s="2" t="s">
        <v>18</v>
      </c>
      <c r="I151" s="2" t="s">
        <v>1195</v>
      </c>
      <c r="J151" s="2" t="s">
        <v>1196</v>
      </c>
      <c r="K151" s="2" t="s">
        <v>1197</v>
      </c>
      <c r="L151" s="2" t="s">
        <v>1198</v>
      </c>
    </row>
    <row r="152" spans="1:12" ht="15.75" customHeight="1">
      <c r="A152" s="2">
        <f t="shared" si="0"/>
        <v>151</v>
      </c>
      <c r="B152" s="2">
        <v>157</v>
      </c>
      <c r="C152" s="2" t="s">
        <v>1199</v>
      </c>
      <c r="D152" s="2" t="s">
        <v>1200</v>
      </c>
      <c r="E152" s="2" t="s">
        <v>305</v>
      </c>
      <c r="F152" s="2" t="s">
        <v>1201</v>
      </c>
      <c r="G152" s="2" t="s">
        <v>1202</v>
      </c>
      <c r="H152" s="2" t="s">
        <v>64</v>
      </c>
      <c r="I152" s="2" t="s">
        <v>1203</v>
      </c>
      <c r="J152" s="2" t="s">
        <v>1204</v>
      </c>
      <c r="K152" s="2" t="s">
        <v>1205</v>
      </c>
      <c r="L152" s="2" t="s">
        <v>1206</v>
      </c>
    </row>
    <row r="153" spans="1:12" ht="15.75" customHeight="1">
      <c r="A153" s="2">
        <f t="shared" si="0"/>
        <v>152</v>
      </c>
      <c r="B153" s="2">
        <v>158</v>
      </c>
      <c r="C153" s="2" t="s">
        <v>1207</v>
      </c>
      <c r="D153" s="2" t="s">
        <v>1208</v>
      </c>
      <c r="E153" s="2" t="s">
        <v>33</v>
      </c>
      <c r="F153" s="2" t="s">
        <v>1209</v>
      </c>
      <c r="G153" s="2" t="s">
        <v>1210</v>
      </c>
      <c r="H153" s="2" t="s">
        <v>64</v>
      </c>
      <c r="I153" s="2" t="s">
        <v>1211</v>
      </c>
      <c r="J153" s="2" t="s">
        <v>1212</v>
      </c>
      <c r="K153" s="2" t="s">
        <v>1213</v>
      </c>
      <c r="L153" s="2" t="s">
        <v>1214</v>
      </c>
    </row>
    <row r="154" spans="1:12" ht="15.75" customHeight="1">
      <c r="A154" s="2">
        <f t="shared" si="0"/>
        <v>153</v>
      </c>
      <c r="B154" s="2">
        <v>159</v>
      </c>
      <c r="C154" s="2" t="s">
        <v>1215</v>
      </c>
      <c r="D154" s="2" t="s">
        <v>1216</v>
      </c>
      <c r="E154" s="2" t="s">
        <v>33</v>
      </c>
      <c r="F154" s="2" t="s">
        <v>1217</v>
      </c>
      <c r="G154" s="2" t="s">
        <v>1218</v>
      </c>
      <c r="H154" s="2" t="s">
        <v>64</v>
      </c>
      <c r="I154" s="2" t="s">
        <v>1219</v>
      </c>
      <c r="J154" s="2" t="s">
        <v>1220</v>
      </c>
      <c r="K154" s="2" t="s">
        <v>1221</v>
      </c>
      <c r="L154" s="2" t="s">
        <v>1222</v>
      </c>
    </row>
    <row r="155" spans="1:12" ht="15.75" customHeight="1">
      <c r="A155" s="2">
        <f t="shared" si="0"/>
        <v>154</v>
      </c>
      <c r="B155" s="2">
        <v>160</v>
      </c>
      <c r="C155" s="2" t="s">
        <v>1223</v>
      </c>
      <c r="D155" s="2" t="s">
        <v>1224</v>
      </c>
      <c r="E155" s="2" t="s">
        <v>171</v>
      </c>
      <c r="F155" s="2" t="s">
        <v>1225</v>
      </c>
      <c r="G155" s="2" t="s">
        <v>1226</v>
      </c>
      <c r="H155" s="2" t="s">
        <v>64</v>
      </c>
      <c r="J155" s="2" t="s">
        <v>1227</v>
      </c>
      <c r="K155" s="2" t="s">
        <v>1228</v>
      </c>
      <c r="L155" s="2" t="s">
        <v>1229</v>
      </c>
    </row>
    <row r="156" spans="1:12" ht="15.75" customHeight="1">
      <c r="A156" s="2">
        <f t="shared" si="0"/>
        <v>155</v>
      </c>
      <c r="B156" s="2">
        <v>161</v>
      </c>
      <c r="C156" s="2" t="s">
        <v>1230</v>
      </c>
      <c r="D156" s="2" t="s">
        <v>1231</v>
      </c>
      <c r="E156" s="2" t="s">
        <v>113</v>
      </c>
      <c r="F156" s="2" t="s">
        <v>1232</v>
      </c>
      <c r="G156" s="2" t="s">
        <v>1233</v>
      </c>
      <c r="H156" s="2" t="s">
        <v>64</v>
      </c>
      <c r="I156" s="2" t="s">
        <v>1234</v>
      </c>
      <c r="J156" s="2" t="s">
        <v>1235</v>
      </c>
      <c r="K156" s="2" t="s">
        <v>1236</v>
      </c>
      <c r="L156" s="2" t="s">
        <v>1237</v>
      </c>
    </row>
    <row r="157" spans="1:12" ht="15.75" customHeight="1">
      <c r="A157" s="2">
        <f t="shared" si="0"/>
        <v>156</v>
      </c>
      <c r="B157" s="2">
        <v>162</v>
      </c>
      <c r="C157" s="2" t="s">
        <v>1238</v>
      </c>
      <c r="D157" s="2" t="s">
        <v>1239</v>
      </c>
      <c r="E157" s="2" t="s">
        <v>129</v>
      </c>
      <c r="F157" s="2" t="s">
        <v>1240</v>
      </c>
      <c r="G157" s="2" t="s">
        <v>1241</v>
      </c>
      <c r="H157" s="2" t="s">
        <v>64</v>
      </c>
      <c r="I157" s="2" t="s">
        <v>1242</v>
      </c>
      <c r="J157" s="2" t="s">
        <v>1235</v>
      </c>
      <c r="K157" s="2" t="s">
        <v>1243</v>
      </c>
      <c r="L157" s="2" t="s">
        <v>387</v>
      </c>
    </row>
    <row r="158" spans="1:12" ht="15.75" customHeight="1">
      <c r="A158" s="2">
        <f t="shared" si="0"/>
        <v>157</v>
      </c>
      <c r="B158" s="2">
        <v>163</v>
      </c>
      <c r="C158" s="2" t="s">
        <v>1244</v>
      </c>
      <c r="D158" s="2" t="s">
        <v>1245</v>
      </c>
      <c r="E158" s="2" t="s">
        <v>480</v>
      </c>
      <c r="F158" s="2" t="s">
        <v>1246</v>
      </c>
      <c r="G158" s="2" t="s">
        <v>1247</v>
      </c>
      <c r="H158" s="2" t="s">
        <v>64</v>
      </c>
      <c r="J158" s="2" t="s">
        <v>1248</v>
      </c>
      <c r="K158" s="2" t="s">
        <v>1249</v>
      </c>
      <c r="L158" s="2" t="s">
        <v>1250</v>
      </c>
    </row>
    <row r="159" spans="1:12" ht="15.75" customHeight="1">
      <c r="A159" s="2">
        <f t="shared" si="0"/>
        <v>158</v>
      </c>
      <c r="B159" s="2">
        <v>164</v>
      </c>
      <c r="C159" s="2" t="s">
        <v>1251</v>
      </c>
      <c r="D159" s="2" t="s">
        <v>1252</v>
      </c>
      <c r="E159" s="2" t="s">
        <v>33</v>
      </c>
      <c r="F159" s="2" t="s">
        <v>1253</v>
      </c>
      <c r="G159" s="2" t="s">
        <v>1254</v>
      </c>
      <c r="H159" s="2" t="s">
        <v>18</v>
      </c>
      <c r="J159" s="2" t="s">
        <v>1255</v>
      </c>
      <c r="K159" s="2" t="s">
        <v>1256</v>
      </c>
      <c r="L159" s="2" t="s">
        <v>1257</v>
      </c>
    </row>
    <row r="160" spans="1:12" ht="15.75" customHeight="1">
      <c r="A160" s="2">
        <f t="shared" si="0"/>
        <v>159</v>
      </c>
      <c r="B160" s="2">
        <v>165</v>
      </c>
      <c r="C160" s="2" t="s">
        <v>1258</v>
      </c>
      <c r="D160" s="2" t="s">
        <v>1259</v>
      </c>
      <c r="E160" s="2" t="s">
        <v>33</v>
      </c>
      <c r="F160" s="2" t="s">
        <v>1260</v>
      </c>
      <c r="G160" s="2" t="s">
        <v>1261</v>
      </c>
      <c r="H160" s="2" t="s">
        <v>64</v>
      </c>
      <c r="J160" s="2" t="s">
        <v>1262</v>
      </c>
      <c r="K160" s="2" t="s">
        <v>223</v>
      </c>
      <c r="L160" s="2" t="s">
        <v>1263</v>
      </c>
    </row>
    <row r="161" spans="1:12" ht="15.75" customHeight="1">
      <c r="A161" s="2">
        <f t="shared" si="0"/>
        <v>160</v>
      </c>
      <c r="B161" s="2">
        <v>166</v>
      </c>
      <c r="C161" s="2" t="s">
        <v>1264</v>
      </c>
      <c r="D161" s="2" t="s">
        <v>1265</v>
      </c>
      <c r="E161" s="2" t="s">
        <v>33</v>
      </c>
      <c r="F161" s="2" t="s">
        <v>1266</v>
      </c>
      <c r="G161" s="2" t="s">
        <v>1267</v>
      </c>
      <c r="H161" s="2" t="s">
        <v>18</v>
      </c>
      <c r="I161" s="2" t="s">
        <v>1268</v>
      </c>
      <c r="J161" s="2" t="s">
        <v>1269</v>
      </c>
      <c r="K161" s="2" t="s">
        <v>1270</v>
      </c>
      <c r="L161" s="2" t="s">
        <v>1271</v>
      </c>
    </row>
    <row r="162" spans="1:12" ht="15.75" customHeight="1">
      <c r="A162" s="2">
        <f t="shared" si="0"/>
        <v>161</v>
      </c>
      <c r="B162" s="2">
        <v>167</v>
      </c>
      <c r="C162" s="2" t="s">
        <v>1272</v>
      </c>
      <c r="D162" s="2" t="s">
        <v>1273</v>
      </c>
      <c r="E162" s="2" t="s">
        <v>607</v>
      </c>
      <c r="F162" s="2" t="s">
        <v>1274</v>
      </c>
      <c r="G162" s="2" t="s">
        <v>1275</v>
      </c>
      <c r="H162" s="2" t="s">
        <v>64</v>
      </c>
      <c r="I162" s="2" t="s">
        <v>1276</v>
      </c>
      <c r="J162" s="2" t="s">
        <v>1277</v>
      </c>
      <c r="K162" s="2" t="s">
        <v>1278</v>
      </c>
      <c r="L162" s="2" t="s">
        <v>1279</v>
      </c>
    </row>
    <row r="163" spans="1:12" ht="15.75" customHeight="1">
      <c r="A163" s="2">
        <f t="shared" si="0"/>
        <v>162</v>
      </c>
      <c r="B163" s="2">
        <v>168</v>
      </c>
      <c r="C163" s="2" t="s">
        <v>1280</v>
      </c>
      <c r="D163" s="2" t="s">
        <v>1281</v>
      </c>
      <c r="E163" s="2" t="s">
        <v>282</v>
      </c>
      <c r="F163" s="2" t="s">
        <v>1282</v>
      </c>
      <c r="G163" s="2" t="s">
        <v>1283</v>
      </c>
      <c r="H163" s="2" t="s">
        <v>64</v>
      </c>
      <c r="I163" s="2" t="s">
        <v>1284</v>
      </c>
      <c r="J163" s="2" t="s">
        <v>1285</v>
      </c>
      <c r="K163" s="2" t="s">
        <v>1286</v>
      </c>
      <c r="L163" s="2" t="s">
        <v>1287</v>
      </c>
    </row>
    <row r="164" spans="1:12" ht="15.75" customHeight="1">
      <c r="A164" s="2">
        <f t="shared" si="0"/>
        <v>163</v>
      </c>
      <c r="B164" s="2">
        <v>169</v>
      </c>
      <c r="C164" s="2" t="s">
        <v>1288</v>
      </c>
      <c r="D164" s="2" t="s">
        <v>1289</v>
      </c>
      <c r="E164" s="2" t="s">
        <v>113</v>
      </c>
      <c r="F164" s="2" t="s">
        <v>1290</v>
      </c>
      <c r="G164" s="2" t="s">
        <v>1291</v>
      </c>
      <c r="H164" s="2" t="s">
        <v>64</v>
      </c>
      <c r="I164" s="2" t="s">
        <v>1292</v>
      </c>
      <c r="J164" s="2" t="s">
        <v>1293</v>
      </c>
      <c r="K164" s="2" t="s">
        <v>1294</v>
      </c>
      <c r="L164" s="2" t="s">
        <v>1295</v>
      </c>
    </row>
    <row r="165" spans="1:12" ht="15.75" customHeight="1">
      <c r="A165" s="2">
        <f t="shared" si="0"/>
        <v>164</v>
      </c>
      <c r="B165" s="2">
        <v>170</v>
      </c>
      <c r="C165" s="2" t="s">
        <v>1296</v>
      </c>
      <c r="D165" s="2" t="s">
        <v>1297</v>
      </c>
      <c r="E165" s="2" t="s">
        <v>129</v>
      </c>
      <c r="F165" s="2" t="s">
        <v>1298</v>
      </c>
      <c r="G165" s="2" t="s">
        <v>1299</v>
      </c>
      <c r="H165" s="2" t="s">
        <v>45</v>
      </c>
      <c r="I165" s="2" t="s">
        <v>1300</v>
      </c>
      <c r="J165" s="2" t="s">
        <v>1301</v>
      </c>
      <c r="K165" s="2" t="s">
        <v>1302</v>
      </c>
      <c r="L165" s="2" t="s">
        <v>1303</v>
      </c>
    </row>
    <row r="166" spans="1:12" ht="15.75" customHeight="1">
      <c r="A166" s="2">
        <f t="shared" si="0"/>
        <v>165</v>
      </c>
      <c r="B166" s="2">
        <v>171</v>
      </c>
      <c r="C166" s="2" t="s">
        <v>1304</v>
      </c>
      <c r="D166" s="2" t="s">
        <v>1305</v>
      </c>
      <c r="E166" s="2" t="s">
        <v>498</v>
      </c>
      <c r="F166" s="2" t="s">
        <v>1306</v>
      </c>
      <c r="G166" s="2" t="s">
        <v>1307</v>
      </c>
      <c r="H166" s="2" t="s">
        <v>64</v>
      </c>
      <c r="J166" s="2" t="s">
        <v>1308</v>
      </c>
      <c r="K166" s="2" t="s">
        <v>1309</v>
      </c>
      <c r="L166" s="2" t="s">
        <v>332</v>
      </c>
    </row>
    <row r="167" spans="1:12" ht="15.75" customHeight="1">
      <c r="A167" s="2">
        <f t="shared" si="0"/>
        <v>166</v>
      </c>
      <c r="B167" s="2">
        <v>172</v>
      </c>
      <c r="C167" s="2" t="s">
        <v>1310</v>
      </c>
      <c r="D167" s="2" t="s">
        <v>1311</v>
      </c>
      <c r="E167" s="2" t="s">
        <v>113</v>
      </c>
      <c r="F167" s="2" t="s">
        <v>1312</v>
      </c>
      <c r="G167" s="2" t="s">
        <v>1313</v>
      </c>
      <c r="H167" s="2" t="s">
        <v>45</v>
      </c>
      <c r="I167" s="2" t="s">
        <v>1314</v>
      </c>
      <c r="J167" s="2" t="s">
        <v>1315</v>
      </c>
      <c r="K167" s="2" t="s">
        <v>1316</v>
      </c>
      <c r="L167" s="2" t="s">
        <v>1317</v>
      </c>
    </row>
    <row r="168" spans="1:12" ht="15.75" customHeight="1">
      <c r="A168" s="2">
        <f t="shared" si="0"/>
        <v>167</v>
      </c>
      <c r="B168" s="2">
        <v>173</v>
      </c>
      <c r="C168" s="2" t="s">
        <v>1318</v>
      </c>
      <c r="D168" s="2" t="s">
        <v>1319</v>
      </c>
      <c r="E168" s="2" t="s">
        <v>113</v>
      </c>
      <c r="F168" s="2" t="s">
        <v>1320</v>
      </c>
      <c r="G168" s="2" t="s">
        <v>1321</v>
      </c>
      <c r="H168" s="2" t="s">
        <v>18</v>
      </c>
      <c r="J168" s="2" t="s">
        <v>1322</v>
      </c>
      <c r="K168" s="2" t="s">
        <v>1323</v>
      </c>
      <c r="L168" s="2" t="s">
        <v>1324</v>
      </c>
    </row>
    <row r="169" spans="1:12" ht="15.75" customHeight="1">
      <c r="A169" s="2">
        <f t="shared" si="0"/>
        <v>168</v>
      </c>
      <c r="B169" s="2">
        <v>174</v>
      </c>
      <c r="C169" s="2" t="s">
        <v>1325</v>
      </c>
      <c r="D169" s="2" t="s">
        <v>1326</v>
      </c>
      <c r="E169" s="2" t="s">
        <v>33</v>
      </c>
      <c r="F169" s="2" t="s">
        <v>1327</v>
      </c>
      <c r="G169" s="2" t="s">
        <v>1328</v>
      </c>
      <c r="H169" s="2" t="s">
        <v>64</v>
      </c>
      <c r="I169" s="2" t="s">
        <v>1329</v>
      </c>
      <c r="J169" s="2" t="s">
        <v>1330</v>
      </c>
      <c r="K169" s="2" t="s">
        <v>1331</v>
      </c>
      <c r="L169" s="2" t="s">
        <v>1332</v>
      </c>
    </row>
    <row r="170" spans="1:12" ht="15.75" customHeight="1">
      <c r="A170" s="2">
        <f t="shared" si="0"/>
        <v>169</v>
      </c>
      <c r="B170" s="2">
        <v>175</v>
      </c>
      <c r="C170" s="2" t="s">
        <v>1333</v>
      </c>
      <c r="D170" s="2" t="s">
        <v>1334</v>
      </c>
      <c r="E170" s="2" t="s">
        <v>129</v>
      </c>
      <c r="F170" s="2" t="s">
        <v>1335</v>
      </c>
      <c r="G170" s="2" t="s">
        <v>1336</v>
      </c>
      <c r="H170" s="2" t="s">
        <v>45</v>
      </c>
      <c r="I170" s="2" t="s">
        <v>1337</v>
      </c>
      <c r="J170" s="2" t="s">
        <v>1338</v>
      </c>
      <c r="K170" s="2" t="s">
        <v>1339</v>
      </c>
      <c r="L170" s="2" t="s">
        <v>1340</v>
      </c>
    </row>
    <row r="171" spans="1:12" ht="15.75" customHeight="1">
      <c r="A171" s="2">
        <f t="shared" si="0"/>
        <v>170</v>
      </c>
      <c r="B171" s="2">
        <v>176</v>
      </c>
      <c r="C171" s="2" t="s">
        <v>1341</v>
      </c>
      <c r="D171" s="2" t="s">
        <v>1342</v>
      </c>
      <c r="E171" s="2" t="s">
        <v>104</v>
      </c>
      <c r="F171" s="2" t="s">
        <v>1343</v>
      </c>
      <c r="G171" s="2" t="s">
        <v>1344</v>
      </c>
      <c r="H171" s="2" t="s">
        <v>64</v>
      </c>
      <c r="I171" s="2" t="s">
        <v>1345</v>
      </c>
      <c r="J171" s="2" t="s">
        <v>1346</v>
      </c>
      <c r="K171" s="2" t="s">
        <v>1347</v>
      </c>
      <c r="L171" s="2" t="s">
        <v>1348</v>
      </c>
    </row>
    <row r="172" spans="1:12" ht="15.75" customHeight="1">
      <c r="A172" s="2">
        <f t="shared" si="0"/>
        <v>171</v>
      </c>
      <c r="B172" s="2">
        <v>177</v>
      </c>
      <c r="C172" s="2" t="s">
        <v>1349</v>
      </c>
      <c r="D172" s="2" t="s">
        <v>1350</v>
      </c>
      <c r="E172" s="2" t="s">
        <v>42</v>
      </c>
      <c r="F172" s="2" t="s">
        <v>1351</v>
      </c>
      <c r="G172" s="2" t="s">
        <v>1352</v>
      </c>
      <c r="H172" s="2" t="s">
        <v>64</v>
      </c>
      <c r="I172" s="2" t="s">
        <v>1353</v>
      </c>
      <c r="J172" s="2" t="s">
        <v>1354</v>
      </c>
      <c r="K172" s="2" t="s">
        <v>1355</v>
      </c>
      <c r="L172" s="2" t="s">
        <v>1356</v>
      </c>
    </row>
    <row r="173" spans="1:12" ht="15.75" customHeight="1">
      <c r="A173" s="2">
        <f t="shared" si="0"/>
        <v>172</v>
      </c>
      <c r="B173" s="2">
        <v>178</v>
      </c>
      <c r="C173" s="2" t="s">
        <v>1357</v>
      </c>
      <c r="D173" s="2" t="s">
        <v>1358</v>
      </c>
      <c r="E173" s="2" t="s">
        <v>171</v>
      </c>
      <c r="F173" s="2" t="s">
        <v>1359</v>
      </c>
      <c r="G173" s="2" t="s">
        <v>1360</v>
      </c>
      <c r="H173" s="2" t="s">
        <v>64</v>
      </c>
      <c r="J173" s="2" t="s">
        <v>1361</v>
      </c>
      <c r="K173" s="2" t="s">
        <v>1362</v>
      </c>
      <c r="L173" s="2" t="s">
        <v>1363</v>
      </c>
    </row>
    <row r="174" spans="1:12" ht="15.75" customHeight="1">
      <c r="A174" s="2">
        <f t="shared" si="0"/>
        <v>173</v>
      </c>
      <c r="B174" s="2">
        <v>179</v>
      </c>
      <c r="C174" s="2" t="s">
        <v>1364</v>
      </c>
      <c r="D174" s="2" t="s">
        <v>1365</v>
      </c>
      <c r="E174" s="2" t="s">
        <v>598</v>
      </c>
      <c r="F174" s="2" t="s">
        <v>1366</v>
      </c>
      <c r="G174" s="2" t="s">
        <v>1367</v>
      </c>
      <c r="H174" s="2" t="s">
        <v>64</v>
      </c>
      <c r="I174" s="2" t="s">
        <v>1368</v>
      </c>
      <c r="J174" s="2" t="s">
        <v>1369</v>
      </c>
      <c r="K174" s="2" t="s">
        <v>223</v>
      </c>
      <c r="L174" s="2" t="s">
        <v>1370</v>
      </c>
    </row>
    <row r="175" spans="1:12" ht="15.75" customHeight="1">
      <c r="A175" s="2">
        <f t="shared" si="0"/>
        <v>174</v>
      </c>
      <c r="B175" s="2">
        <v>180</v>
      </c>
      <c r="C175" s="2" t="s">
        <v>1371</v>
      </c>
      <c r="D175" s="2" t="s">
        <v>1372</v>
      </c>
      <c r="E175" s="2" t="s">
        <v>442</v>
      </c>
      <c r="F175" s="2" t="s">
        <v>1373</v>
      </c>
      <c r="G175" s="2" t="s">
        <v>1374</v>
      </c>
      <c r="H175" s="2" t="s">
        <v>64</v>
      </c>
      <c r="I175" s="2" t="s">
        <v>1375</v>
      </c>
      <c r="J175" s="2" t="s">
        <v>1376</v>
      </c>
      <c r="K175" s="2" t="s">
        <v>1377</v>
      </c>
      <c r="L175" s="2" t="s">
        <v>1378</v>
      </c>
    </row>
    <row r="176" spans="1:12" ht="15.75" customHeight="1">
      <c r="A176" s="2">
        <f t="shared" si="0"/>
        <v>175</v>
      </c>
      <c r="B176" s="2">
        <v>181</v>
      </c>
      <c r="C176" s="2" t="s">
        <v>1379</v>
      </c>
      <c r="D176" s="2" t="s">
        <v>1380</v>
      </c>
      <c r="E176" s="2" t="s">
        <v>33</v>
      </c>
      <c r="F176" s="2" t="s">
        <v>1381</v>
      </c>
      <c r="G176" s="2" t="s">
        <v>1382</v>
      </c>
      <c r="H176" s="2" t="s">
        <v>18</v>
      </c>
      <c r="I176" s="2" t="s">
        <v>1383</v>
      </c>
      <c r="J176" s="2" t="s">
        <v>1384</v>
      </c>
      <c r="K176" s="2" t="s">
        <v>1385</v>
      </c>
      <c r="L176" s="2" t="s">
        <v>1386</v>
      </c>
    </row>
    <row r="177" spans="1:12" ht="15.75" customHeight="1">
      <c r="A177" s="2">
        <f t="shared" si="0"/>
        <v>176</v>
      </c>
      <c r="B177" s="2">
        <v>182</v>
      </c>
      <c r="C177" s="2" t="s">
        <v>1387</v>
      </c>
      <c r="D177" s="2" t="s">
        <v>1388</v>
      </c>
      <c r="E177" s="2" t="s">
        <v>598</v>
      </c>
      <c r="F177" s="2" t="s">
        <v>1389</v>
      </c>
      <c r="G177" s="2" t="s">
        <v>1390</v>
      </c>
      <c r="H177" s="2" t="s">
        <v>18</v>
      </c>
      <c r="I177" s="2" t="s">
        <v>1391</v>
      </c>
      <c r="J177" s="2" t="s">
        <v>1392</v>
      </c>
      <c r="K177" s="2" t="s">
        <v>1393</v>
      </c>
      <c r="L177" s="2" t="s">
        <v>1394</v>
      </c>
    </row>
    <row r="178" spans="1:12" ht="15.75" customHeight="1">
      <c r="A178" s="2">
        <f t="shared" si="0"/>
        <v>177</v>
      </c>
      <c r="B178" s="2">
        <v>183</v>
      </c>
      <c r="C178" s="2" t="s">
        <v>1395</v>
      </c>
      <c r="D178" s="2" t="s">
        <v>1396</v>
      </c>
      <c r="E178" s="2" t="s">
        <v>61</v>
      </c>
      <c r="F178" s="2" t="s">
        <v>1397</v>
      </c>
      <c r="G178" s="2" t="s">
        <v>1398</v>
      </c>
      <c r="H178" s="2" t="s">
        <v>64</v>
      </c>
      <c r="J178" s="2" t="s">
        <v>1399</v>
      </c>
      <c r="K178" s="2" t="s">
        <v>1400</v>
      </c>
      <c r="L178" s="2" t="s">
        <v>1401</v>
      </c>
    </row>
    <row r="179" spans="1:12" ht="15.75" customHeight="1">
      <c r="A179" s="2">
        <f t="shared" si="0"/>
        <v>178</v>
      </c>
      <c r="B179" s="2">
        <v>184</v>
      </c>
      <c r="C179" s="2" t="s">
        <v>1402</v>
      </c>
      <c r="D179" s="2" t="s">
        <v>1403</v>
      </c>
      <c r="E179" s="2" t="s">
        <v>129</v>
      </c>
      <c r="F179" s="2" t="s">
        <v>1404</v>
      </c>
      <c r="G179" s="2" t="s">
        <v>1405</v>
      </c>
      <c r="H179" s="2" t="s">
        <v>64</v>
      </c>
      <c r="J179" s="2" t="s">
        <v>1406</v>
      </c>
      <c r="K179" s="2" t="s">
        <v>1407</v>
      </c>
      <c r="L179" s="2" t="s">
        <v>1408</v>
      </c>
    </row>
    <row r="180" spans="1:12" ht="15.75" customHeight="1">
      <c r="A180" s="2">
        <f t="shared" si="0"/>
        <v>179</v>
      </c>
      <c r="B180" s="2">
        <v>185</v>
      </c>
      <c r="C180" s="2" t="s">
        <v>1409</v>
      </c>
      <c r="D180" s="2" t="s">
        <v>1410</v>
      </c>
      <c r="E180" s="2" t="s">
        <v>129</v>
      </c>
      <c r="F180" s="2" t="s">
        <v>1411</v>
      </c>
      <c r="G180" s="2" t="s">
        <v>1412</v>
      </c>
      <c r="H180" s="2" t="s">
        <v>64</v>
      </c>
      <c r="I180" s="2" t="s">
        <v>1413</v>
      </c>
      <c r="J180" s="2" t="s">
        <v>1414</v>
      </c>
      <c r="K180" s="2" t="s">
        <v>1415</v>
      </c>
      <c r="L180" s="2" t="s">
        <v>1416</v>
      </c>
    </row>
    <row r="181" spans="1:12" ht="15.75" customHeight="1">
      <c r="A181" s="2">
        <f t="shared" si="0"/>
        <v>180</v>
      </c>
      <c r="B181" s="2">
        <v>186</v>
      </c>
      <c r="C181" s="2" t="s">
        <v>1417</v>
      </c>
      <c r="D181" s="2" t="s">
        <v>1418</v>
      </c>
      <c r="E181" s="2" t="s">
        <v>42</v>
      </c>
      <c r="F181" s="2" t="s">
        <v>1419</v>
      </c>
      <c r="G181" s="2" t="s">
        <v>1420</v>
      </c>
      <c r="H181" s="2" t="s">
        <v>64</v>
      </c>
      <c r="I181" s="2" t="s">
        <v>1421</v>
      </c>
      <c r="J181" s="2" t="s">
        <v>1422</v>
      </c>
      <c r="K181" s="2" t="s">
        <v>1423</v>
      </c>
      <c r="L181" s="2" t="s">
        <v>1424</v>
      </c>
    </row>
    <row r="182" spans="1:12" ht="15.75" customHeight="1">
      <c r="A182" s="2">
        <f t="shared" si="0"/>
        <v>181</v>
      </c>
      <c r="B182" s="2">
        <v>187</v>
      </c>
      <c r="C182" s="2" t="s">
        <v>1425</v>
      </c>
      <c r="D182" s="2" t="s">
        <v>1426</v>
      </c>
      <c r="E182" s="2" t="s">
        <v>373</v>
      </c>
      <c r="F182" s="2" t="s">
        <v>1427</v>
      </c>
      <c r="G182" s="2" t="s">
        <v>1428</v>
      </c>
      <c r="H182" s="2" t="s">
        <v>64</v>
      </c>
      <c r="I182" s="2" t="s">
        <v>1429</v>
      </c>
      <c r="J182" s="2" t="s">
        <v>1430</v>
      </c>
      <c r="K182" s="2" t="s">
        <v>1431</v>
      </c>
      <c r="L182" s="2" t="s">
        <v>1432</v>
      </c>
    </row>
    <row r="183" spans="1:12" ht="15.75" customHeight="1">
      <c r="A183" s="2">
        <f t="shared" si="0"/>
        <v>182</v>
      </c>
      <c r="B183" s="2">
        <v>188</v>
      </c>
      <c r="C183" s="2" t="s">
        <v>1433</v>
      </c>
      <c r="D183" s="2" t="s">
        <v>1434</v>
      </c>
      <c r="E183" s="2" t="s">
        <v>113</v>
      </c>
      <c r="F183" s="2" t="s">
        <v>1435</v>
      </c>
      <c r="G183" s="2" t="s">
        <v>1436</v>
      </c>
      <c r="H183" s="2" t="s">
        <v>64</v>
      </c>
      <c r="I183" s="2" t="s">
        <v>1437</v>
      </c>
      <c r="J183" s="2" t="s">
        <v>1438</v>
      </c>
      <c r="K183" s="2" t="s">
        <v>1439</v>
      </c>
      <c r="L183" s="2" t="s">
        <v>1440</v>
      </c>
    </row>
    <row r="184" spans="1:12" ht="15.75" customHeight="1">
      <c r="A184" s="2">
        <f t="shared" si="0"/>
        <v>183</v>
      </c>
      <c r="B184" s="2">
        <v>189</v>
      </c>
      <c r="C184" s="2" t="s">
        <v>1441</v>
      </c>
      <c r="D184" s="2" t="s">
        <v>1442</v>
      </c>
      <c r="E184" s="2" t="s">
        <v>104</v>
      </c>
      <c r="F184" s="2" t="s">
        <v>1443</v>
      </c>
      <c r="G184" s="2" t="s">
        <v>1444</v>
      </c>
      <c r="H184" s="2" t="s">
        <v>64</v>
      </c>
      <c r="I184" s="2" t="s">
        <v>1445</v>
      </c>
      <c r="J184" s="2" t="s">
        <v>1446</v>
      </c>
      <c r="K184" s="2" t="s">
        <v>1447</v>
      </c>
      <c r="L184" s="2" t="s">
        <v>1448</v>
      </c>
    </row>
    <row r="185" spans="1:12" ht="15.75" customHeight="1">
      <c r="A185" s="2">
        <f t="shared" si="0"/>
        <v>184</v>
      </c>
      <c r="B185" s="2">
        <v>190</v>
      </c>
      <c r="C185" s="2" t="s">
        <v>1449</v>
      </c>
      <c r="D185" s="2" t="s">
        <v>1450</v>
      </c>
      <c r="E185" s="2" t="s">
        <v>52</v>
      </c>
      <c r="F185" s="2" t="s">
        <v>1451</v>
      </c>
      <c r="G185" s="2" t="s">
        <v>1452</v>
      </c>
      <c r="H185" s="2" t="s">
        <v>64</v>
      </c>
      <c r="J185" s="2" t="s">
        <v>1453</v>
      </c>
      <c r="K185" s="2" t="s">
        <v>1454</v>
      </c>
      <c r="L185" s="2" t="s">
        <v>1455</v>
      </c>
    </row>
    <row r="186" spans="1:12" ht="15.75" customHeight="1">
      <c r="A186" s="2">
        <f t="shared" si="0"/>
        <v>185</v>
      </c>
      <c r="B186" s="2">
        <v>191</v>
      </c>
      <c r="C186" s="2" t="s">
        <v>1456</v>
      </c>
      <c r="D186" s="2" t="s">
        <v>1457</v>
      </c>
      <c r="E186" s="2" t="s">
        <v>129</v>
      </c>
      <c r="F186" s="2" t="s">
        <v>1458</v>
      </c>
      <c r="G186" s="2" t="s">
        <v>1459</v>
      </c>
      <c r="H186" s="2" t="s">
        <v>45</v>
      </c>
      <c r="I186" s="2" t="s">
        <v>1460</v>
      </c>
      <c r="J186" s="2" t="s">
        <v>1461</v>
      </c>
      <c r="K186" s="2" t="s">
        <v>1462</v>
      </c>
      <c r="L186" s="2" t="s">
        <v>1463</v>
      </c>
    </row>
    <row r="187" spans="1:12" ht="15.75" customHeight="1">
      <c r="A187" s="2">
        <f t="shared" si="0"/>
        <v>186</v>
      </c>
      <c r="B187" s="2">
        <v>192</v>
      </c>
      <c r="C187" s="2" t="s">
        <v>1464</v>
      </c>
      <c r="D187" s="2" t="s">
        <v>1465</v>
      </c>
      <c r="E187" s="2" t="s">
        <v>129</v>
      </c>
      <c r="F187" s="2" t="s">
        <v>1466</v>
      </c>
      <c r="G187" s="2" t="s">
        <v>1467</v>
      </c>
      <c r="H187" s="2" t="s">
        <v>45</v>
      </c>
      <c r="I187" s="2" t="s">
        <v>1468</v>
      </c>
      <c r="J187" s="2" t="s">
        <v>1469</v>
      </c>
      <c r="K187" s="2" t="s">
        <v>1470</v>
      </c>
      <c r="L187" s="2" t="s">
        <v>1471</v>
      </c>
    </row>
    <row r="188" spans="1:12" ht="15.75" customHeight="1">
      <c r="A188" s="2">
        <f t="shared" si="0"/>
        <v>187</v>
      </c>
      <c r="B188" s="2">
        <v>193</v>
      </c>
      <c r="C188" s="2" t="s">
        <v>1472</v>
      </c>
      <c r="D188" s="2" t="s">
        <v>1473</v>
      </c>
      <c r="E188" s="2" t="s">
        <v>129</v>
      </c>
      <c r="F188" s="2" t="s">
        <v>1474</v>
      </c>
      <c r="G188" s="2" t="s">
        <v>1475</v>
      </c>
      <c r="H188" s="2" t="s">
        <v>45</v>
      </c>
      <c r="I188" s="2" t="s">
        <v>1476</v>
      </c>
      <c r="J188" s="2" t="s">
        <v>1477</v>
      </c>
      <c r="K188" s="2" t="s">
        <v>511</v>
      </c>
      <c r="L188" s="2" t="s">
        <v>1478</v>
      </c>
    </row>
    <row r="189" spans="1:12" ht="15.75" customHeight="1">
      <c r="A189" s="2">
        <f t="shared" si="0"/>
        <v>188</v>
      </c>
      <c r="B189" s="2">
        <v>194</v>
      </c>
      <c r="C189" s="2" t="s">
        <v>1479</v>
      </c>
      <c r="D189" s="2" t="s">
        <v>1480</v>
      </c>
      <c r="E189" s="2" t="s">
        <v>129</v>
      </c>
      <c r="F189" s="2" t="s">
        <v>1481</v>
      </c>
      <c r="G189" s="2" t="s">
        <v>1482</v>
      </c>
      <c r="H189" s="2" t="s">
        <v>45</v>
      </c>
      <c r="I189" s="2" t="s">
        <v>1483</v>
      </c>
      <c r="J189" s="2" t="s">
        <v>1484</v>
      </c>
      <c r="K189" s="2" t="s">
        <v>1485</v>
      </c>
      <c r="L189" s="2" t="s">
        <v>1486</v>
      </c>
    </row>
    <row r="190" spans="1:12" ht="15.75" customHeight="1">
      <c r="A190" s="2">
        <f t="shared" si="0"/>
        <v>189</v>
      </c>
      <c r="B190" s="2">
        <v>195</v>
      </c>
      <c r="C190" s="2" t="s">
        <v>1487</v>
      </c>
      <c r="D190" s="2" t="s">
        <v>1488</v>
      </c>
      <c r="E190" s="2" t="s">
        <v>129</v>
      </c>
      <c r="F190" s="2" t="s">
        <v>1489</v>
      </c>
      <c r="G190" s="2" t="s">
        <v>1490</v>
      </c>
      <c r="H190" s="2" t="s">
        <v>45</v>
      </c>
      <c r="I190" s="2" t="s">
        <v>1491</v>
      </c>
      <c r="J190" s="2" t="s">
        <v>1492</v>
      </c>
      <c r="K190" s="2" t="s">
        <v>1493</v>
      </c>
      <c r="L190" s="2" t="s">
        <v>1494</v>
      </c>
    </row>
    <row r="191" spans="1:12" ht="15.75" customHeight="1">
      <c r="A191" s="2">
        <f t="shared" si="0"/>
        <v>190</v>
      </c>
      <c r="B191" s="2">
        <v>196</v>
      </c>
      <c r="C191" s="2" t="s">
        <v>1495</v>
      </c>
      <c r="D191" s="2" t="s">
        <v>1496</v>
      </c>
      <c r="E191" s="2" t="s">
        <v>129</v>
      </c>
      <c r="F191" s="2" t="s">
        <v>1497</v>
      </c>
      <c r="G191" s="2" t="s">
        <v>1498</v>
      </c>
      <c r="H191" s="2" t="s">
        <v>45</v>
      </c>
      <c r="I191" s="2" t="s">
        <v>1499</v>
      </c>
      <c r="J191" s="2" t="s">
        <v>1500</v>
      </c>
      <c r="K191" s="2" t="s">
        <v>1501</v>
      </c>
      <c r="L191" s="2" t="s">
        <v>1502</v>
      </c>
    </row>
    <row r="192" spans="1:12" ht="15.75" customHeight="1">
      <c r="A192" s="2">
        <f t="shared" si="0"/>
        <v>191</v>
      </c>
      <c r="B192" s="2">
        <v>197</v>
      </c>
      <c r="C192" s="2" t="s">
        <v>1503</v>
      </c>
      <c r="D192" s="2" t="s">
        <v>1504</v>
      </c>
      <c r="E192" s="2" t="s">
        <v>129</v>
      </c>
      <c r="F192" s="2" t="s">
        <v>1505</v>
      </c>
      <c r="G192" s="2" t="s">
        <v>1506</v>
      </c>
      <c r="H192" s="2" t="s">
        <v>45</v>
      </c>
      <c r="I192" s="2" t="s">
        <v>1507</v>
      </c>
      <c r="J192" s="2" t="s">
        <v>1508</v>
      </c>
      <c r="K192" s="2" t="s">
        <v>1509</v>
      </c>
      <c r="L192" s="2" t="s">
        <v>1510</v>
      </c>
    </row>
    <row r="193" spans="1:12" ht="15.75" customHeight="1">
      <c r="A193" s="2">
        <f t="shared" si="0"/>
        <v>192</v>
      </c>
      <c r="B193" s="2">
        <v>198</v>
      </c>
      <c r="C193" s="2" t="s">
        <v>1511</v>
      </c>
      <c r="D193" s="2" t="s">
        <v>1512</v>
      </c>
      <c r="E193" s="2" t="s">
        <v>129</v>
      </c>
      <c r="F193" s="2" t="s">
        <v>1513</v>
      </c>
      <c r="G193" s="2" t="s">
        <v>1514</v>
      </c>
      <c r="H193" s="2" t="s">
        <v>45</v>
      </c>
      <c r="I193" s="2" t="s">
        <v>1515</v>
      </c>
      <c r="J193" s="2" t="s">
        <v>1516</v>
      </c>
      <c r="K193" s="2" t="s">
        <v>1517</v>
      </c>
      <c r="L193" s="2" t="s">
        <v>1518</v>
      </c>
    </row>
    <row r="194" spans="1:12" ht="15.75" customHeight="1">
      <c r="A194" s="2">
        <f t="shared" si="0"/>
        <v>193</v>
      </c>
      <c r="B194" s="2">
        <v>199</v>
      </c>
      <c r="C194" s="2" t="s">
        <v>1519</v>
      </c>
      <c r="D194" s="2" t="s">
        <v>1520</v>
      </c>
      <c r="E194" s="2" t="s">
        <v>555</v>
      </c>
      <c r="F194" s="2" t="s">
        <v>1521</v>
      </c>
      <c r="G194" s="2" t="s">
        <v>1522</v>
      </c>
      <c r="H194" s="2" t="s">
        <v>45</v>
      </c>
      <c r="I194" s="2" t="s">
        <v>1523</v>
      </c>
      <c r="J194" s="2" t="s">
        <v>1524</v>
      </c>
      <c r="K194" s="2" t="s">
        <v>1525</v>
      </c>
      <c r="L194" s="2" t="s">
        <v>1526</v>
      </c>
    </row>
    <row r="195" spans="1:12" ht="15.75" customHeight="1">
      <c r="A195" s="2">
        <f t="shared" si="0"/>
        <v>194</v>
      </c>
      <c r="B195" s="2">
        <v>200</v>
      </c>
      <c r="C195" s="2" t="s">
        <v>1527</v>
      </c>
      <c r="D195" s="2" t="s">
        <v>1528</v>
      </c>
      <c r="E195" s="2" t="s">
        <v>555</v>
      </c>
      <c r="F195" s="2" t="s">
        <v>1529</v>
      </c>
      <c r="G195" s="2" t="s">
        <v>1530</v>
      </c>
      <c r="H195" s="2" t="s">
        <v>45</v>
      </c>
      <c r="I195" s="2" t="s">
        <v>1531</v>
      </c>
      <c r="J195" s="2" t="s">
        <v>1532</v>
      </c>
      <c r="K195" s="2" t="s">
        <v>1533</v>
      </c>
      <c r="L195" s="2" t="s">
        <v>1534</v>
      </c>
    </row>
    <row r="196" spans="1:12" ht="15.75" customHeight="1">
      <c r="A196" s="2">
        <f t="shared" si="0"/>
        <v>195</v>
      </c>
      <c r="B196" s="2">
        <v>201</v>
      </c>
      <c r="C196" s="2" t="s">
        <v>1535</v>
      </c>
      <c r="D196" s="2" t="s">
        <v>1536</v>
      </c>
      <c r="E196" s="2" t="s">
        <v>900</v>
      </c>
      <c r="F196" s="2" t="s">
        <v>1537</v>
      </c>
      <c r="G196" s="2" t="s">
        <v>1538</v>
      </c>
      <c r="H196" s="2" t="s">
        <v>45</v>
      </c>
      <c r="I196" s="2" t="s">
        <v>1539</v>
      </c>
      <c r="J196" s="2" t="s">
        <v>1540</v>
      </c>
      <c r="K196" s="2" t="s">
        <v>1541</v>
      </c>
      <c r="L196" s="2" t="s">
        <v>1542</v>
      </c>
    </row>
    <row r="197" spans="1:12" ht="15.75" customHeight="1">
      <c r="A197" s="2">
        <f t="shared" si="0"/>
        <v>196</v>
      </c>
      <c r="B197" s="2">
        <v>202</v>
      </c>
      <c r="C197" s="2" t="s">
        <v>1543</v>
      </c>
      <c r="D197" s="2" t="s">
        <v>1544</v>
      </c>
      <c r="E197" s="2" t="s">
        <v>589</v>
      </c>
      <c r="F197" s="2" t="s">
        <v>1545</v>
      </c>
      <c r="G197" s="2" t="s">
        <v>1546</v>
      </c>
      <c r="H197" s="2" t="s">
        <v>45</v>
      </c>
      <c r="I197" s="2" t="s">
        <v>1547</v>
      </c>
      <c r="J197" s="2" t="s">
        <v>1548</v>
      </c>
      <c r="K197" s="2" t="s">
        <v>1549</v>
      </c>
      <c r="L197" s="2" t="s">
        <v>1550</v>
      </c>
    </row>
    <row r="198" spans="1:12" ht="15.75" customHeight="1">
      <c r="A198" s="2">
        <f t="shared" si="0"/>
        <v>197</v>
      </c>
      <c r="B198" s="2">
        <v>203</v>
      </c>
      <c r="C198" s="2" t="s">
        <v>1551</v>
      </c>
      <c r="D198" s="2" t="s">
        <v>1552</v>
      </c>
      <c r="E198" s="2" t="s">
        <v>42</v>
      </c>
      <c r="F198" s="2" t="s">
        <v>1553</v>
      </c>
      <c r="G198" s="2" t="s">
        <v>1554</v>
      </c>
      <c r="H198" s="2" t="s">
        <v>64</v>
      </c>
      <c r="I198" s="2" t="s">
        <v>1555</v>
      </c>
      <c r="J198" s="2" t="s">
        <v>1556</v>
      </c>
      <c r="K198" s="2" t="s">
        <v>1557</v>
      </c>
      <c r="L198" s="2" t="s">
        <v>1558</v>
      </c>
    </row>
    <row r="199" spans="1:12" ht="15.75" customHeight="1">
      <c r="A199" s="2">
        <f t="shared" si="0"/>
        <v>198</v>
      </c>
      <c r="B199" s="2">
        <v>204</v>
      </c>
      <c r="C199" s="2" t="s">
        <v>1559</v>
      </c>
      <c r="D199" s="2" t="s">
        <v>1560</v>
      </c>
      <c r="E199" s="2" t="s">
        <v>42</v>
      </c>
      <c r="F199" s="2" t="s">
        <v>1561</v>
      </c>
      <c r="G199" s="2" t="s">
        <v>1562</v>
      </c>
      <c r="H199" s="2" t="s">
        <v>64</v>
      </c>
      <c r="I199" s="2" t="s">
        <v>1563</v>
      </c>
      <c r="J199" s="2" t="s">
        <v>1564</v>
      </c>
      <c r="K199" s="2" t="s">
        <v>1565</v>
      </c>
      <c r="L199" s="2" t="s">
        <v>1566</v>
      </c>
    </row>
    <row r="200" spans="1:12" ht="15.75" customHeight="1">
      <c r="A200" s="2">
        <f t="shared" si="0"/>
        <v>199</v>
      </c>
      <c r="B200" s="2">
        <v>205</v>
      </c>
      <c r="C200" s="2" t="s">
        <v>1567</v>
      </c>
      <c r="D200" s="2" t="s">
        <v>1568</v>
      </c>
      <c r="E200" s="2" t="s">
        <v>137</v>
      </c>
      <c r="F200" s="2" t="s">
        <v>1569</v>
      </c>
      <c r="G200" s="2" t="s">
        <v>1570</v>
      </c>
      <c r="H200" s="2" t="s">
        <v>45</v>
      </c>
      <c r="I200" s="2" t="s">
        <v>1571</v>
      </c>
      <c r="J200" s="2" t="s">
        <v>1572</v>
      </c>
      <c r="K200" s="2" t="s">
        <v>1573</v>
      </c>
      <c r="L200" s="2" t="s">
        <v>1574</v>
      </c>
    </row>
    <row r="201" spans="1:12" ht="15.75" customHeight="1">
      <c r="A201" s="2">
        <f t="shared" si="0"/>
        <v>200</v>
      </c>
      <c r="B201" s="2">
        <v>206</v>
      </c>
      <c r="C201" s="2" t="s">
        <v>1575</v>
      </c>
      <c r="D201" s="2" t="s">
        <v>1576</v>
      </c>
      <c r="E201" s="2" t="s">
        <v>1577</v>
      </c>
      <c r="F201" s="2" t="s">
        <v>1578</v>
      </c>
      <c r="G201" s="2" t="s">
        <v>1579</v>
      </c>
      <c r="H201" s="2" t="s">
        <v>45</v>
      </c>
      <c r="I201" s="2" t="s">
        <v>1580</v>
      </c>
      <c r="J201" s="2" t="s">
        <v>1581</v>
      </c>
      <c r="K201" s="2" t="s">
        <v>1582</v>
      </c>
      <c r="L201" s="2" t="s">
        <v>1583</v>
      </c>
    </row>
    <row r="202" spans="1:12" ht="15.75" customHeight="1">
      <c r="A202" s="2">
        <f t="shared" si="0"/>
        <v>201</v>
      </c>
      <c r="B202" s="2">
        <v>207</v>
      </c>
      <c r="C202" s="2" t="s">
        <v>1584</v>
      </c>
      <c r="D202" s="2" t="s">
        <v>1585</v>
      </c>
      <c r="E202" s="2" t="s">
        <v>33</v>
      </c>
      <c r="F202" s="2" t="s">
        <v>1586</v>
      </c>
      <c r="G202" s="2" t="s">
        <v>1587</v>
      </c>
      <c r="H202" s="2" t="s">
        <v>45</v>
      </c>
      <c r="I202" s="2" t="s">
        <v>1588</v>
      </c>
      <c r="J202" s="2" t="s">
        <v>1589</v>
      </c>
      <c r="K202" s="2" t="s">
        <v>1590</v>
      </c>
      <c r="L202" s="2" t="s">
        <v>1591</v>
      </c>
    </row>
    <row r="203" spans="1:12" ht="15.75" customHeight="1">
      <c r="A203" s="2">
        <f t="shared" si="0"/>
        <v>202</v>
      </c>
      <c r="B203" s="2">
        <v>208</v>
      </c>
      <c r="C203" s="2" t="s">
        <v>1592</v>
      </c>
      <c r="D203" s="2" t="s">
        <v>1593</v>
      </c>
      <c r="E203" s="2" t="s">
        <v>113</v>
      </c>
      <c r="F203" s="2" t="s">
        <v>1594</v>
      </c>
      <c r="G203" s="2" t="s">
        <v>1595</v>
      </c>
      <c r="H203" s="2" t="s">
        <v>45</v>
      </c>
      <c r="I203" s="2" t="s">
        <v>1596</v>
      </c>
      <c r="J203" s="2" t="s">
        <v>1597</v>
      </c>
      <c r="K203" s="2" t="s">
        <v>1598</v>
      </c>
      <c r="L203" s="2" t="s">
        <v>1599</v>
      </c>
    </row>
    <row r="204" spans="1:12" ht="15.75" customHeight="1">
      <c r="A204" s="2">
        <f t="shared" si="0"/>
        <v>203</v>
      </c>
      <c r="B204" s="2">
        <v>209</v>
      </c>
      <c r="C204" s="2" t="s">
        <v>1600</v>
      </c>
      <c r="D204" s="2" t="s">
        <v>1601</v>
      </c>
      <c r="E204" s="2" t="s">
        <v>113</v>
      </c>
      <c r="F204" s="2" t="s">
        <v>1602</v>
      </c>
      <c r="G204" s="2" t="s">
        <v>1603</v>
      </c>
      <c r="H204" s="2" t="s">
        <v>45</v>
      </c>
      <c r="I204" s="2" t="s">
        <v>1604</v>
      </c>
      <c r="J204" s="2" t="s">
        <v>1605</v>
      </c>
      <c r="K204" s="2" t="s">
        <v>1606</v>
      </c>
      <c r="L204" s="2" t="s">
        <v>1607</v>
      </c>
    </row>
    <row r="205" spans="1:12" ht="15.75" customHeight="1">
      <c r="A205" s="2">
        <f t="shared" si="0"/>
        <v>204</v>
      </c>
      <c r="B205" s="2">
        <v>210</v>
      </c>
      <c r="C205" s="2" t="s">
        <v>1608</v>
      </c>
      <c r="D205" s="2" t="s">
        <v>1609</v>
      </c>
      <c r="E205" s="2" t="s">
        <v>179</v>
      </c>
      <c r="F205" s="2" t="s">
        <v>1610</v>
      </c>
      <c r="G205" s="2" t="s">
        <v>412</v>
      </c>
      <c r="H205" s="2" t="s">
        <v>45</v>
      </c>
      <c r="I205" s="2" t="s">
        <v>1611</v>
      </c>
      <c r="J205" s="2" t="s">
        <v>1612</v>
      </c>
      <c r="K205" s="2" t="s">
        <v>1613</v>
      </c>
      <c r="L205" s="2" t="s">
        <v>1614</v>
      </c>
    </row>
    <row r="206" spans="1:12" ht="15.75" customHeight="1">
      <c r="A206" s="2">
        <f t="shared" si="0"/>
        <v>205</v>
      </c>
      <c r="B206" s="2">
        <v>211</v>
      </c>
      <c r="C206" s="2" t="s">
        <v>1615</v>
      </c>
      <c r="D206" s="2" t="s">
        <v>1616</v>
      </c>
      <c r="E206" s="2" t="s">
        <v>25</v>
      </c>
      <c r="F206" s="2" t="s">
        <v>1617</v>
      </c>
      <c r="G206" s="2" t="s">
        <v>1618</v>
      </c>
      <c r="H206" s="2" t="s">
        <v>18</v>
      </c>
      <c r="I206" s="2" t="s">
        <v>1619</v>
      </c>
      <c r="J206" s="2" t="s">
        <v>1620</v>
      </c>
      <c r="K206" s="2" t="s">
        <v>1621</v>
      </c>
      <c r="L206" s="2" t="s">
        <v>1622</v>
      </c>
    </row>
    <row r="207" spans="1:12" ht="15.75" customHeight="1">
      <c r="A207" s="2">
        <f t="shared" si="0"/>
        <v>206</v>
      </c>
      <c r="B207" s="2">
        <v>213</v>
      </c>
      <c r="C207" s="2" t="s">
        <v>1623</v>
      </c>
      <c r="D207" s="2" t="s">
        <v>1624</v>
      </c>
      <c r="E207" s="2" t="s">
        <v>555</v>
      </c>
      <c r="F207" s="2" t="s">
        <v>1625</v>
      </c>
      <c r="G207" s="2" t="s">
        <v>1626</v>
      </c>
      <c r="H207" s="2" t="s">
        <v>64</v>
      </c>
      <c r="I207" s="2" t="s">
        <v>1627</v>
      </c>
      <c r="J207" s="2" t="s">
        <v>1628</v>
      </c>
      <c r="K207" s="2" t="s">
        <v>1629</v>
      </c>
      <c r="L207" s="2" t="s">
        <v>1630</v>
      </c>
    </row>
    <row r="208" spans="1:12" ht="15.75" customHeight="1">
      <c r="A208" s="2">
        <f t="shared" si="0"/>
        <v>207</v>
      </c>
      <c r="B208" s="2">
        <v>214</v>
      </c>
      <c r="C208" s="2" t="s">
        <v>1631</v>
      </c>
      <c r="D208" s="2" t="s">
        <v>1632</v>
      </c>
      <c r="E208" s="2" t="s">
        <v>129</v>
      </c>
      <c r="F208" s="2" t="s">
        <v>1633</v>
      </c>
      <c r="G208" s="2" t="s">
        <v>1634</v>
      </c>
      <c r="H208" s="2" t="s">
        <v>18</v>
      </c>
      <c r="I208" s="2" t="s">
        <v>1635</v>
      </c>
      <c r="J208" s="2" t="s">
        <v>1636</v>
      </c>
      <c r="K208" s="2" t="s">
        <v>1637</v>
      </c>
      <c r="L208" s="2" t="s">
        <v>1638</v>
      </c>
    </row>
    <row r="209" spans="1:12" ht="15.75" customHeight="1">
      <c r="A209" s="2">
        <f t="shared" si="0"/>
        <v>208</v>
      </c>
      <c r="B209" s="2">
        <v>215</v>
      </c>
      <c r="C209" s="2" t="s">
        <v>1639</v>
      </c>
      <c r="D209" s="2" t="s">
        <v>1640</v>
      </c>
      <c r="E209" s="2" t="s">
        <v>129</v>
      </c>
      <c r="F209" s="2" t="s">
        <v>1641</v>
      </c>
      <c r="G209" s="2" t="s">
        <v>1642</v>
      </c>
      <c r="H209" s="2" t="s">
        <v>64</v>
      </c>
      <c r="J209" s="2" t="s">
        <v>1643</v>
      </c>
      <c r="K209" s="2" t="s">
        <v>1644</v>
      </c>
      <c r="L209" s="2" t="s">
        <v>1645</v>
      </c>
    </row>
    <row r="210" spans="1:12" ht="15.75" customHeight="1">
      <c r="A210" s="2">
        <f t="shared" si="0"/>
        <v>209</v>
      </c>
      <c r="B210" s="2">
        <v>216</v>
      </c>
      <c r="C210" s="2" t="s">
        <v>1646</v>
      </c>
      <c r="D210" s="2" t="s">
        <v>1647</v>
      </c>
      <c r="E210" s="2" t="s">
        <v>61</v>
      </c>
      <c r="F210" s="2" t="s">
        <v>1648</v>
      </c>
      <c r="G210" s="2" t="s">
        <v>1649</v>
      </c>
      <c r="H210" s="2" t="s">
        <v>64</v>
      </c>
      <c r="I210" s="2" t="s">
        <v>1650</v>
      </c>
      <c r="J210" s="2" t="s">
        <v>1651</v>
      </c>
      <c r="K210" s="2" t="s">
        <v>1652</v>
      </c>
      <c r="L210" s="2" t="s">
        <v>1653</v>
      </c>
    </row>
    <row r="211" spans="1:12" ht="15.75" customHeight="1">
      <c r="A211" s="2">
        <f t="shared" si="0"/>
        <v>210</v>
      </c>
      <c r="B211" s="2">
        <v>217</v>
      </c>
      <c r="C211" s="2" t="s">
        <v>1654</v>
      </c>
      <c r="D211" s="2" t="s">
        <v>1655</v>
      </c>
      <c r="E211" s="2" t="s">
        <v>555</v>
      </c>
      <c r="F211" s="2" t="s">
        <v>1656</v>
      </c>
      <c r="G211" s="2" t="s">
        <v>1657</v>
      </c>
      <c r="H211" s="2" t="s">
        <v>64</v>
      </c>
      <c r="I211" s="2" t="s">
        <v>1658</v>
      </c>
      <c r="J211" s="2" t="s">
        <v>1659</v>
      </c>
      <c r="K211" s="2" t="s">
        <v>1660</v>
      </c>
      <c r="L211" s="2" t="s">
        <v>1661</v>
      </c>
    </row>
    <row r="212" spans="1:12" ht="15.75" customHeight="1">
      <c r="A212" s="2">
        <f t="shared" si="0"/>
        <v>211</v>
      </c>
      <c r="B212" s="2">
        <v>218</v>
      </c>
      <c r="C212" s="2" t="s">
        <v>1662</v>
      </c>
      <c r="D212" s="2" t="s">
        <v>1663</v>
      </c>
      <c r="E212" s="2" t="s">
        <v>274</v>
      </c>
      <c r="F212" s="2" t="s">
        <v>1664</v>
      </c>
      <c r="G212" s="2" t="s">
        <v>1665</v>
      </c>
      <c r="H212" s="2" t="s">
        <v>64</v>
      </c>
      <c r="I212" s="2" t="s">
        <v>1666</v>
      </c>
      <c r="J212" s="2" t="s">
        <v>1667</v>
      </c>
      <c r="K212" s="2" t="s">
        <v>1668</v>
      </c>
      <c r="L212" s="2" t="s">
        <v>1669</v>
      </c>
    </row>
    <row r="213" spans="1:12" ht="15.75" customHeight="1">
      <c r="A213" s="2">
        <f t="shared" si="0"/>
        <v>212</v>
      </c>
      <c r="B213" s="2">
        <v>219</v>
      </c>
      <c r="C213" s="2" t="s">
        <v>1670</v>
      </c>
      <c r="D213" s="2" t="s">
        <v>1671</v>
      </c>
      <c r="E213" s="2" t="s">
        <v>52</v>
      </c>
      <c r="F213" s="2" t="s">
        <v>1672</v>
      </c>
      <c r="G213" s="2" t="s">
        <v>1673</v>
      </c>
      <c r="H213" s="2" t="s">
        <v>64</v>
      </c>
      <c r="I213" s="2" t="s">
        <v>1674</v>
      </c>
      <c r="J213" s="2" t="s">
        <v>1675</v>
      </c>
      <c r="K213" s="2" t="s">
        <v>1676</v>
      </c>
      <c r="L213" s="2" t="s">
        <v>1677</v>
      </c>
    </row>
    <row r="214" spans="1:12" ht="15.75" customHeight="1">
      <c r="A214" s="2">
        <f t="shared" si="0"/>
        <v>213</v>
      </c>
      <c r="B214" s="2">
        <v>220</v>
      </c>
      <c r="C214" s="2" t="s">
        <v>1678</v>
      </c>
      <c r="D214" s="2" t="s">
        <v>1679</v>
      </c>
      <c r="E214" s="2" t="s">
        <v>129</v>
      </c>
      <c r="F214" s="2" t="s">
        <v>1680</v>
      </c>
      <c r="G214" s="2" t="s">
        <v>1681</v>
      </c>
      <c r="H214" s="2" t="s">
        <v>64</v>
      </c>
      <c r="I214" s="2" t="s">
        <v>1682</v>
      </c>
      <c r="J214" s="2" t="s">
        <v>1683</v>
      </c>
      <c r="K214" s="2" t="s">
        <v>1684</v>
      </c>
      <c r="L214" s="2" t="s">
        <v>1685</v>
      </c>
    </row>
    <row r="215" spans="1:12" ht="15.75" customHeight="1">
      <c r="A215" s="2">
        <f t="shared" si="0"/>
        <v>214</v>
      </c>
      <c r="B215" s="2">
        <v>221</v>
      </c>
      <c r="C215" s="2" t="s">
        <v>1686</v>
      </c>
      <c r="D215" s="2" t="s">
        <v>1687</v>
      </c>
      <c r="E215" s="2" t="s">
        <v>598</v>
      </c>
      <c r="F215" s="2" t="s">
        <v>1688</v>
      </c>
      <c r="G215" s="2" t="s">
        <v>1689</v>
      </c>
      <c r="H215" s="2" t="s">
        <v>64</v>
      </c>
      <c r="I215" s="2" t="s">
        <v>1690</v>
      </c>
      <c r="J215" s="2" t="s">
        <v>1691</v>
      </c>
      <c r="K215" s="2" t="s">
        <v>1692</v>
      </c>
      <c r="L215" s="2" t="s">
        <v>1693</v>
      </c>
    </row>
    <row r="216" spans="1:12" ht="15.75" customHeight="1">
      <c r="A216" s="2">
        <f t="shared" si="0"/>
        <v>215</v>
      </c>
      <c r="B216" s="2">
        <v>222</v>
      </c>
      <c r="C216" s="2" t="s">
        <v>1694</v>
      </c>
      <c r="D216" s="2" t="s">
        <v>1695</v>
      </c>
      <c r="E216" s="2" t="s">
        <v>42</v>
      </c>
      <c r="F216" s="2" t="s">
        <v>1696</v>
      </c>
      <c r="G216" s="2" t="s">
        <v>1697</v>
      </c>
      <c r="H216" s="2" t="s">
        <v>64</v>
      </c>
      <c r="I216" s="2" t="s">
        <v>1698</v>
      </c>
      <c r="J216" s="2" t="s">
        <v>1699</v>
      </c>
      <c r="K216" s="2" t="s">
        <v>1700</v>
      </c>
      <c r="L216" s="2" t="s">
        <v>1701</v>
      </c>
    </row>
    <row r="217" spans="1:12" ht="15.75" customHeight="1">
      <c r="A217" s="2">
        <f t="shared" si="0"/>
        <v>216</v>
      </c>
      <c r="B217" s="2">
        <v>223</v>
      </c>
      <c r="C217" s="2" t="s">
        <v>1702</v>
      </c>
      <c r="D217" s="2" t="s">
        <v>1703</v>
      </c>
      <c r="E217" s="2" t="s">
        <v>373</v>
      </c>
      <c r="F217" s="2" t="s">
        <v>1704</v>
      </c>
      <c r="G217" s="2" t="s">
        <v>1705</v>
      </c>
      <c r="H217" s="2" t="s">
        <v>64</v>
      </c>
      <c r="I217" s="2" t="s">
        <v>1706</v>
      </c>
      <c r="J217" s="2" t="s">
        <v>1707</v>
      </c>
      <c r="K217" s="2" t="s">
        <v>1708</v>
      </c>
      <c r="L217" s="2" t="s">
        <v>1709</v>
      </c>
    </row>
    <row r="218" spans="1:12" ht="15.75" customHeight="1">
      <c r="A218" s="2">
        <f t="shared" si="0"/>
        <v>217</v>
      </c>
      <c r="B218" s="2">
        <v>224</v>
      </c>
      <c r="C218" s="2" t="s">
        <v>1710</v>
      </c>
      <c r="D218" s="2" t="s">
        <v>1711</v>
      </c>
      <c r="E218" s="2" t="s">
        <v>305</v>
      </c>
      <c r="F218" s="2" t="s">
        <v>1712</v>
      </c>
      <c r="G218" s="2" t="s">
        <v>1713</v>
      </c>
      <c r="H218" s="2" t="s">
        <v>64</v>
      </c>
      <c r="I218" s="2" t="s">
        <v>1714</v>
      </c>
      <c r="J218" s="2" t="s">
        <v>1715</v>
      </c>
      <c r="K218" s="2" t="s">
        <v>1716</v>
      </c>
      <c r="L218" s="2" t="s">
        <v>1717</v>
      </c>
    </row>
    <row r="219" spans="1:12" ht="15.75" customHeight="1">
      <c r="A219" s="2">
        <f t="shared" si="0"/>
        <v>218</v>
      </c>
      <c r="B219" s="2">
        <v>225</v>
      </c>
      <c r="C219" s="2" t="s">
        <v>1718</v>
      </c>
      <c r="D219" s="2" t="s">
        <v>1719</v>
      </c>
      <c r="E219" s="2" t="s">
        <v>564</v>
      </c>
      <c r="F219" s="2" t="s">
        <v>1720</v>
      </c>
      <c r="G219" s="2" t="s">
        <v>1721</v>
      </c>
      <c r="H219" s="2" t="s">
        <v>18</v>
      </c>
      <c r="I219" s="2" t="s">
        <v>1722</v>
      </c>
      <c r="J219" s="2" t="s">
        <v>1723</v>
      </c>
      <c r="K219" s="2" t="s">
        <v>1724</v>
      </c>
      <c r="L219" s="2" t="s">
        <v>1725</v>
      </c>
    </row>
    <row r="220" spans="1:12" ht="15.75" customHeight="1">
      <c r="A220" s="2">
        <f t="shared" si="0"/>
        <v>219</v>
      </c>
      <c r="B220" s="2">
        <v>226</v>
      </c>
      <c r="C220" s="2" t="s">
        <v>1726</v>
      </c>
      <c r="D220" s="2" t="s">
        <v>1727</v>
      </c>
      <c r="E220" s="2" t="s">
        <v>129</v>
      </c>
      <c r="F220" s="2" t="s">
        <v>1728</v>
      </c>
      <c r="G220" s="2" t="s">
        <v>1729</v>
      </c>
      <c r="H220" s="2" t="s">
        <v>64</v>
      </c>
      <c r="I220" s="2" t="s">
        <v>1730</v>
      </c>
      <c r="J220" s="2" t="s">
        <v>1731</v>
      </c>
      <c r="K220" s="2" t="s">
        <v>1732</v>
      </c>
      <c r="L220" s="2" t="s">
        <v>387</v>
      </c>
    </row>
    <row r="221" spans="1:12" ht="15.75" customHeight="1">
      <c r="A221" s="2">
        <f t="shared" si="0"/>
        <v>220</v>
      </c>
      <c r="B221" s="2">
        <v>227</v>
      </c>
      <c r="C221" s="2" t="s">
        <v>1733</v>
      </c>
      <c r="D221" s="2" t="s">
        <v>1734</v>
      </c>
      <c r="E221" s="2" t="s">
        <v>113</v>
      </c>
      <c r="F221" s="2" t="s">
        <v>1735</v>
      </c>
      <c r="G221" s="2" t="s">
        <v>1736</v>
      </c>
      <c r="H221" s="2" t="s">
        <v>18</v>
      </c>
      <c r="J221" s="2" t="s">
        <v>1737</v>
      </c>
      <c r="K221" s="2" t="s">
        <v>1738</v>
      </c>
      <c r="L221" s="2" t="s">
        <v>1739</v>
      </c>
    </row>
    <row r="222" spans="1:12" ht="15.75" customHeight="1">
      <c r="A222" s="2">
        <f t="shared" si="0"/>
        <v>221</v>
      </c>
      <c r="B222" s="2">
        <v>228</v>
      </c>
      <c r="C222" s="2" t="s">
        <v>1740</v>
      </c>
      <c r="D222" s="2" t="s">
        <v>1741</v>
      </c>
      <c r="E222" s="2" t="s">
        <v>113</v>
      </c>
      <c r="F222" s="2" t="s">
        <v>1742</v>
      </c>
      <c r="G222" s="2" t="s">
        <v>1743</v>
      </c>
      <c r="H222" s="2" t="s">
        <v>64</v>
      </c>
      <c r="J222" s="2" t="s">
        <v>1744</v>
      </c>
      <c r="K222" s="2" t="s">
        <v>1745</v>
      </c>
      <c r="L222" s="2" t="s">
        <v>332</v>
      </c>
    </row>
    <row r="223" spans="1:12" ht="15.75" customHeight="1">
      <c r="A223" s="2">
        <f t="shared" si="0"/>
        <v>222</v>
      </c>
      <c r="B223" s="2">
        <v>229</v>
      </c>
      <c r="C223" s="2" t="s">
        <v>1746</v>
      </c>
      <c r="D223" s="2" t="s">
        <v>1747</v>
      </c>
      <c r="E223" s="2" t="s">
        <v>25</v>
      </c>
      <c r="F223" s="2" t="s">
        <v>1748</v>
      </c>
      <c r="G223" s="2" t="s">
        <v>1749</v>
      </c>
      <c r="H223" s="2" t="s">
        <v>18</v>
      </c>
      <c r="I223" s="2" t="s">
        <v>1750</v>
      </c>
      <c r="J223" s="2" t="s">
        <v>1751</v>
      </c>
      <c r="K223" s="2" t="s">
        <v>1752</v>
      </c>
      <c r="L223" s="2" t="s">
        <v>1753</v>
      </c>
    </row>
    <row r="224" spans="1:12" ht="15.75" customHeight="1">
      <c r="A224" s="2">
        <f t="shared" si="0"/>
        <v>223</v>
      </c>
      <c r="B224" s="2">
        <v>230</v>
      </c>
      <c r="C224" s="2" t="s">
        <v>1754</v>
      </c>
      <c r="E224" s="2" t="s">
        <v>52</v>
      </c>
      <c r="F224" s="2" t="s">
        <v>1755</v>
      </c>
      <c r="G224" s="2" t="s">
        <v>1756</v>
      </c>
      <c r="H224" s="2" t="s">
        <v>64</v>
      </c>
      <c r="J224" s="2" t="s">
        <v>1757</v>
      </c>
      <c r="K224" s="2" t="s">
        <v>1758</v>
      </c>
      <c r="L224" s="2" t="s">
        <v>1759</v>
      </c>
    </row>
    <row r="225" spans="1:12" ht="15.75" customHeight="1">
      <c r="A225" s="2">
        <f t="shared" si="0"/>
        <v>224</v>
      </c>
      <c r="B225" s="2">
        <v>231</v>
      </c>
      <c r="C225" s="2" t="s">
        <v>1760</v>
      </c>
      <c r="D225" s="2" t="s">
        <v>1761</v>
      </c>
      <c r="E225" s="2" t="s">
        <v>113</v>
      </c>
      <c r="F225" s="2" t="s">
        <v>1762</v>
      </c>
      <c r="G225" s="2" t="s">
        <v>1763</v>
      </c>
      <c r="H225" s="2" t="s">
        <v>18</v>
      </c>
      <c r="J225" s="2" t="s">
        <v>1764</v>
      </c>
      <c r="K225" s="2" t="s">
        <v>1765</v>
      </c>
      <c r="L225" s="2" t="s">
        <v>1766</v>
      </c>
    </row>
    <row r="226" spans="1:12" ht="15.75" customHeight="1">
      <c r="A226" s="2">
        <f t="shared" si="0"/>
        <v>225</v>
      </c>
      <c r="B226" s="2">
        <v>233</v>
      </c>
      <c r="C226" s="2" t="s">
        <v>1767</v>
      </c>
      <c r="D226" s="2" t="s">
        <v>1768</v>
      </c>
      <c r="E226" s="2" t="s">
        <v>555</v>
      </c>
      <c r="F226" s="2" t="s">
        <v>1769</v>
      </c>
      <c r="G226" s="2" t="s">
        <v>1770</v>
      </c>
      <c r="H226" s="2" t="s">
        <v>64</v>
      </c>
      <c r="I226" s="2" t="s">
        <v>1771</v>
      </c>
      <c r="J226" s="2" t="s">
        <v>1772</v>
      </c>
      <c r="K226" s="2" t="s">
        <v>1773</v>
      </c>
      <c r="L226" s="2" t="s">
        <v>1774</v>
      </c>
    </row>
    <row r="227" spans="1:12" ht="15.75" customHeight="1">
      <c r="A227" s="2">
        <f t="shared" si="0"/>
        <v>226</v>
      </c>
      <c r="B227" s="2">
        <v>234</v>
      </c>
      <c r="C227" s="2" t="s">
        <v>1775</v>
      </c>
      <c r="D227" s="2" t="s">
        <v>1776</v>
      </c>
      <c r="E227" s="2" t="s">
        <v>52</v>
      </c>
      <c r="F227" s="2" t="s">
        <v>1777</v>
      </c>
      <c r="G227" s="2" t="s">
        <v>1778</v>
      </c>
      <c r="H227" s="2" t="s">
        <v>64</v>
      </c>
      <c r="I227" s="2" t="s">
        <v>1779</v>
      </c>
      <c r="J227" s="2" t="s">
        <v>1780</v>
      </c>
      <c r="K227" s="2" t="s">
        <v>1781</v>
      </c>
      <c r="L227" s="2" t="s">
        <v>1782</v>
      </c>
    </row>
    <row r="228" spans="1:12" ht="15.75" customHeight="1">
      <c r="A228" s="2">
        <f t="shared" si="0"/>
        <v>227</v>
      </c>
      <c r="B228" s="2">
        <v>235</v>
      </c>
      <c r="C228" s="2" t="s">
        <v>1783</v>
      </c>
      <c r="D228" s="2" t="s">
        <v>1784</v>
      </c>
      <c r="E228" s="2" t="s">
        <v>129</v>
      </c>
      <c r="F228" s="2" t="s">
        <v>1785</v>
      </c>
      <c r="G228" s="2" t="s">
        <v>1786</v>
      </c>
      <c r="H228" s="2" t="s">
        <v>64</v>
      </c>
      <c r="I228" s="2" t="s">
        <v>1787</v>
      </c>
      <c r="J228" s="2" t="s">
        <v>1788</v>
      </c>
      <c r="K228" s="2" t="s">
        <v>1789</v>
      </c>
      <c r="L228" s="2" t="s">
        <v>1790</v>
      </c>
    </row>
    <row r="229" spans="1:12" ht="15.75" customHeight="1">
      <c r="A229" s="2">
        <f t="shared" si="0"/>
        <v>228</v>
      </c>
      <c r="B229" s="2">
        <v>236</v>
      </c>
      <c r="C229" s="2" t="s">
        <v>1791</v>
      </c>
      <c r="D229" s="2" t="s">
        <v>1792</v>
      </c>
      <c r="E229" s="2" t="s">
        <v>235</v>
      </c>
      <c r="F229" s="2" t="s">
        <v>1793</v>
      </c>
      <c r="G229" s="2" t="s">
        <v>1794</v>
      </c>
      <c r="H229" s="2" t="s">
        <v>64</v>
      </c>
      <c r="J229" s="2" t="s">
        <v>1795</v>
      </c>
      <c r="K229" s="2" t="s">
        <v>1796</v>
      </c>
      <c r="L229" s="2" t="s">
        <v>1797</v>
      </c>
    </row>
    <row r="230" spans="1:12" ht="15.75" customHeight="1">
      <c r="A230" s="2">
        <f t="shared" si="0"/>
        <v>229</v>
      </c>
      <c r="B230" s="2">
        <v>237</v>
      </c>
      <c r="C230" s="2" t="s">
        <v>1798</v>
      </c>
      <c r="D230" s="2" t="s">
        <v>1799</v>
      </c>
      <c r="E230" s="2" t="s">
        <v>498</v>
      </c>
      <c r="F230" s="2" t="s">
        <v>1800</v>
      </c>
      <c r="G230" s="2" t="s">
        <v>1801</v>
      </c>
      <c r="H230" s="2" t="s">
        <v>18</v>
      </c>
      <c r="I230" s="2" t="s">
        <v>1802</v>
      </c>
      <c r="J230" s="2" t="s">
        <v>1803</v>
      </c>
      <c r="K230" s="2" t="s">
        <v>1804</v>
      </c>
      <c r="L230" s="2" t="s">
        <v>1805</v>
      </c>
    </row>
    <row r="231" spans="1:12" ht="15.75" customHeight="1">
      <c r="A231" s="2">
        <f t="shared" si="0"/>
        <v>230</v>
      </c>
      <c r="B231" s="2">
        <v>238</v>
      </c>
      <c r="C231" s="2" t="s">
        <v>1806</v>
      </c>
      <c r="D231" s="2" t="s">
        <v>1807</v>
      </c>
      <c r="E231" s="2" t="s">
        <v>539</v>
      </c>
      <c r="F231" s="2" t="s">
        <v>1808</v>
      </c>
      <c r="G231" s="2" t="s">
        <v>1809</v>
      </c>
      <c r="H231" s="2" t="s">
        <v>64</v>
      </c>
      <c r="J231" s="2" t="s">
        <v>1803</v>
      </c>
      <c r="K231" s="2" t="s">
        <v>1810</v>
      </c>
      <c r="L231" s="2" t="s">
        <v>1811</v>
      </c>
    </row>
    <row r="232" spans="1:12" ht="15.75" customHeight="1">
      <c r="A232" s="2">
        <f t="shared" si="0"/>
        <v>231</v>
      </c>
      <c r="B232" s="2">
        <v>239</v>
      </c>
      <c r="C232" s="2" t="s">
        <v>1812</v>
      </c>
      <c r="D232" s="2" t="s">
        <v>1813</v>
      </c>
      <c r="E232" s="2" t="s">
        <v>79</v>
      </c>
      <c r="F232" s="2" t="s">
        <v>1814</v>
      </c>
      <c r="G232" s="2" t="s">
        <v>1815</v>
      </c>
      <c r="H232" s="2" t="s">
        <v>64</v>
      </c>
      <c r="I232" s="2" t="s">
        <v>1816</v>
      </c>
      <c r="J232" s="2" t="s">
        <v>1817</v>
      </c>
      <c r="K232" s="2" t="s">
        <v>1818</v>
      </c>
      <c r="L232" s="2" t="s">
        <v>1819</v>
      </c>
    </row>
    <row r="233" spans="1:12" ht="15.75" customHeight="1">
      <c r="A233" s="2">
        <f t="shared" si="0"/>
        <v>232</v>
      </c>
      <c r="B233" s="2">
        <v>240</v>
      </c>
      <c r="C233" s="2" t="s">
        <v>1820</v>
      </c>
      <c r="D233" s="2" t="s">
        <v>1821</v>
      </c>
      <c r="E233" s="2" t="s">
        <v>480</v>
      </c>
      <c r="F233" s="2" t="s">
        <v>1822</v>
      </c>
      <c r="G233" s="2" t="s">
        <v>1823</v>
      </c>
      <c r="H233" s="2" t="s">
        <v>64</v>
      </c>
      <c r="I233" s="2" t="s">
        <v>1824</v>
      </c>
      <c r="J233" s="2" t="s">
        <v>1825</v>
      </c>
      <c r="K233" s="2" t="s">
        <v>1826</v>
      </c>
      <c r="L233" s="2" t="s">
        <v>1827</v>
      </c>
    </row>
    <row r="234" spans="1:12" ht="15.75" customHeight="1">
      <c r="A234" s="2">
        <f t="shared" si="0"/>
        <v>233</v>
      </c>
      <c r="B234" s="2">
        <v>241</v>
      </c>
      <c r="C234" s="2" t="s">
        <v>1828</v>
      </c>
      <c r="D234" s="2" t="s">
        <v>1829</v>
      </c>
      <c r="E234" s="2" t="s">
        <v>498</v>
      </c>
      <c r="F234" s="2" t="s">
        <v>1830</v>
      </c>
      <c r="G234" s="2" t="s">
        <v>1831</v>
      </c>
      <c r="H234" s="2" t="s">
        <v>64</v>
      </c>
      <c r="I234" s="2" t="s">
        <v>1832</v>
      </c>
      <c r="J234" s="2" t="s">
        <v>1833</v>
      </c>
      <c r="K234" s="2" t="s">
        <v>1834</v>
      </c>
      <c r="L234" s="2" t="s">
        <v>332</v>
      </c>
    </row>
    <row r="235" spans="1:12" ht="15.75" customHeight="1">
      <c r="A235" s="2">
        <f t="shared" si="0"/>
        <v>234</v>
      </c>
      <c r="B235" s="2">
        <v>242</v>
      </c>
      <c r="C235" s="2" t="s">
        <v>1835</v>
      </c>
      <c r="D235" s="2" t="s">
        <v>1836</v>
      </c>
      <c r="E235" s="2" t="s">
        <v>25</v>
      </c>
      <c r="F235" s="2" t="s">
        <v>1837</v>
      </c>
      <c r="G235" s="2" t="s">
        <v>1838</v>
      </c>
      <c r="H235" s="2" t="s">
        <v>18</v>
      </c>
      <c r="J235" s="2" t="s">
        <v>1833</v>
      </c>
      <c r="K235" s="2" t="s">
        <v>1839</v>
      </c>
      <c r="L235" s="2" t="s">
        <v>1840</v>
      </c>
    </row>
    <row r="236" spans="1:12" ht="15.75" customHeight="1">
      <c r="A236" s="2">
        <f t="shared" si="0"/>
        <v>235</v>
      </c>
      <c r="B236" s="2">
        <v>243</v>
      </c>
      <c r="C236" s="2" t="s">
        <v>1841</v>
      </c>
      <c r="D236" s="2" t="s">
        <v>1842</v>
      </c>
      <c r="E236" s="2" t="s">
        <v>79</v>
      </c>
      <c r="F236" s="2" t="s">
        <v>1843</v>
      </c>
      <c r="G236" s="2" t="s">
        <v>1844</v>
      </c>
      <c r="H236" s="2" t="s">
        <v>64</v>
      </c>
      <c r="J236" s="2" t="s">
        <v>1845</v>
      </c>
      <c r="K236" s="2" t="s">
        <v>1846</v>
      </c>
      <c r="L236" s="2" t="s">
        <v>1847</v>
      </c>
    </row>
    <row r="237" spans="1:12" ht="15.75" customHeight="1">
      <c r="A237" s="2">
        <f t="shared" si="0"/>
        <v>236</v>
      </c>
      <c r="B237" s="2">
        <v>244</v>
      </c>
      <c r="C237" s="2" t="s">
        <v>1848</v>
      </c>
      <c r="D237" s="2" t="s">
        <v>1849</v>
      </c>
      <c r="E237" s="2" t="s">
        <v>113</v>
      </c>
      <c r="F237" s="2" t="s">
        <v>1850</v>
      </c>
      <c r="G237" s="2" t="s">
        <v>1851</v>
      </c>
      <c r="H237" s="2" t="s">
        <v>64</v>
      </c>
      <c r="I237" s="2" t="s">
        <v>1852</v>
      </c>
      <c r="J237" s="2" t="s">
        <v>1853</v>
      </c>
      <c r="K237" s="2" t="s">
        <v>1854</v>
      </c>
      <c r="L237" s="2" t="s">
        <v>1855</v>
      </c>
    </row>
    <row r="238" spans="1:12" ht="15.75" customHeight="1">
      <c r="A238" s="2">
        <f t="shared" si="0"/>
        <v>237</v>
      </c>
      <c r="B238" s="2">
        <v>245</v>
      </c>
      <c r="C238" s="2" t="s">
        <v>1856</v>
      </c>
      <c r="D238" s="2" t="s">
        <v>1857</v>
      </c>
      <c r="E238" s="2" t="s">
        <v>235</v>
      </c>
      <c r="F238" s="2" t="s">
        <v>1858</v>
      </c>
      <c r="G238" s="2" t="s">
        <v>1859</v>
      </c>
      <c r="H238" s="2" t="s">
        <v>64</v>
      </c>
      <c r="I238" s="2" t="s">
        <v>1860</v>
      </c>
      <c r="J238" s="2" t="s">
        <v>1861</v>
      </c>
      <c r="K238" s="2" t="s">
        <v>223</v>
      </c>
      <c r="L238" s="2" t="s">
        <v>1862</v>
      </c>
    </row>
    <row r="239" spans="1:12" ht="15.75" customHeight="1">
      <c r="A239" s="2">
        <f t="shared" si="0"/>
        <v>238</v>
      </c>
      <c r="B239" s="2">
        <v>246</v>
      </c>
      <c r="C239" s="2" t="s">
        <v>1863</v>
      </c>
      <c r="D239" s="2" t="s">
        <v>1864</v>
      </c>
      <c r="E239" s="2" t="s">
        <v>113</v>
      </c>
      <c r="F239" s="2" t="s">
        <v>1865</v>
      </c>
      <c r="G239" s="2" t="s">
        <v>1866</v>
      </c>
      <c r="H239" s="2" t="s">
        <v>18</v>
      </c>
      <c r="I239" s="2" t="s">
        <v>1867</v>
      </c>
      <c r="J239" s="2" t="s">
        <v>1868</v>
      </c>
      <c r="K239" s="2" t="s">
        <v>1869</v>
      </c>
      <c r="L239" s="2" t="s">
        <v>332</v>
      </c>
    </row>
    <row r="240" spans="1:12" ht="15.75" customHeight="1">
      <c r="A240" s="2">
        <f t="shared" si="0"/>
        <v>239</v>
      </c>
      <c r="B240" s="2">
        <v>247</v>
      </c>
      <c r="C240" s="2" t="s">
        <v>1870</v>
      </c>
      <c r="D240" s="2" t="s">
        <v>1871</v>
      </c>
      <c r="E240" s="2" t="s">
        <v>129</v>
      </c>
      <c r="F240" s="2" t="s">
        <v>1872</v>
      </c>
      <c r="G240" s="2" t="s">
        <v>1873</v>
      </c>
      <c r="H240" s="2" t="s">
        <v>64</v>
      </c>
      <c r="I240" s="2" t="s">
        <v>1874</v>
      </c>
      <c r="J240" s="2" t="s">
        <v>1875</v>
      </c>
      <c r="K240" s="2" t="s">
        <v>1876</v>
      </c>
      <c r="L240" s="2" t="s">
        <v>332</v>
      </c>
    </row>
    <row r="241" spans="1:12" ht="15.75" customHeight="1">
      <c r="A241" s="2">
        <f t="shared" si="0"/>
        <v>240</v>
      </c>
      <c r="B241" s="2">
        <v>248</v>
      </c>
      <c r="C241" s="2" t="s">
        <v>1877</v>
      </c>
      <c r="D241" s="2" t="s">
        <v>1878</v>
      </c>
      <c r="E241" s="2" t="s">
        <v>498</v>
      </c>
      <c r="F241" s="2" t="s">
        <v>1879</v>
      </c>
      <c r="G241" s="2" t="s">
        <v>1880</v>
      </c>
      <c r="H241" s="2" t="s">
        <v>64</v>
      </c>
      <c r="I241" s="2" t="s">
        <v>1881</v>
      </c>
      <c r="J241" s="2" t="s">
        <v>1882</v>
      </c>
      <c r="K241" s="2" t="s">
        <v>1883</v>
      </c>
      <c r="L241" s="2" t="s">
        <v>1884</v>
      </c>
    </row>
    <row r="242" spans="1:12" ht="15.75" customHeight="1">
      <c r="A242" s="2">
        <f t="shared" si="0"/>
        <v>241</v>
      </c>
      <c r="B242" s="2">
        <v>249</v>
      </c>
      <c r="C242" s="2" t="s">
        <v>1885</v>
      </c>
      <c r="D242" s="2" t="s">
        <v>1886</v>
      </c>
      <c r="E242" s="2" t="s">
        <v>113</v>
      </c>
      <c r="F242" s="2" t="s">
        <v>1887</v>
      </c>
      <c r="G242" s="2" t="s">
        <v>1888</v>
      </c>
      <c r="H242" s="2" t="s">
        <v>64</v>
      </c>
      <c r="I242" s="2" t="s">
        <v>1889</v>
      </c>
      <c r="J242" s="2" t="s">
        <v>1890</v>
      </c>
      <c r="K242" s="2" t="s">
        <v>1891</v>
      </c>
      <c r="L242" s="2" t="s">
        <v>1892</v>
      </c>
    </row>
    <row r="243" spans="1:12" ht="15.75" customHeight="1">
      <c r="A243" s="2">
        <f t="shared" si="0"/>
        <v>242</v>
      </c>
      <c r="B243" s="2">
        <v>250</v>
      </c>
      <c r="C243" s="2" t="s">
        <v>1893</v>
      </c>
      <c r="D243" s="2" t="s">
        <v>1894</v>
      </c>
      <c r="E243" s="2" t="s">
        <v>129</v>
      </c>
      <c r="F243" s="2" t="s">
        <v>1895</v>
      </c>
      <c r="G243" s="2" t="s">
        <v>1896</v>
      </c>
      <c r="H243" s="2" t="s">
        <v>45</v>
      </c>
      <c r="I243" s="2" t="s">
        <v>1897</v>
      </c>
      <c r="J243" s="2" t="s">
        <v>1882</v>
      </c>
      <c r="K243" s="2" t="s">
        <v>1898</v>
      </c>
      <c r="L243" s="2" t="s">
        <v>1899</v>
      </c>
    </row>
    <row r="244" spans="1:12" ht="15.75" customHeight="1">
      <c r="A244" s="2">
        <f t="shared" si="0"/>
        <v>243</v>
      </c>
      <c r="B244" s="2">
        <v>251</v>
      </c>
      <c r="C244" s="2" t="s">
        <v>1900</v>
      </c>
      <c r="D244" s="2" t="s">
        <v>1901</v>
      </c>
      <c r="E244" s="2" t="s">
        <v>373</v>
      </c>
      <c r="F244" s="2" t="s">
        <v>1902</v>
      </c>
      <c r="G244" s="2" t="s">
        <v>1903</v>
      </c>
      <c r="H244" s="2" t="s">
        <v>64</v>
      </c>
      <c r="I244" s="2" t="s">
        <v>1904</v>
      </c>
      <c r="J244" s="2" t="s">
        <v>1882</v>
      </c>
      <c r="K244" s="2" t="s">
        <v>1905</v>
      </c>
      <c r="L244" s="2" t="s">
        <v>1906</v>
      </c>
    </row>
    <row r="245" spans="1:12" ht="15.75" customHeight="1">
      <c r="A245" s="2">
        <f t="shared" si="0"/>
        <v>244</v>
      </c>
      <c r="B245" s="2">
        <v>252</v>
      </c>
      <c r="C245" s="2" t="s">
        <v>1907</v>
      </c>
      <c r="D245" s="2" t="s">
        <v>1908</v>
      </c>
      <c r="E245" s="2" t="s">
        <v>25</v>
      </c>
      <c r="F245" s="2" t="s">
        <v>1909</v>
      </c>
      <c r="G245" s="2" t="s">
        <v>1910</v>
      </c>
      <c r="H245" s="2" t="s">
        <v>18</v>
      </c>
      <c r="I245" s="2" t="s">
        <v>1911</v>
      </c>
      <c r="J245" s="2" t="s">
        <v>1912</v>
      </c>
      <c r="K245" s="2" t="s">
        <v>1913</v>
      </c>
      <c r="L245" s="2" t="s">
        <v>1914</v>
      </c>
    </row>
    <row r="246" spans="1:12" ht="15.75" customHeight="1">
      <c r="A246" s="2">
        <f t="shared" si="0"/>
        <v>245</v>
      </c>
      <c r="B246" s="2">
        <v>253</v>
      </c>
      <c r="C246" s="2" t="s">
        <v>1915</v>
      </c>
      <c r="D246" s="2" t="s">
        <v>1916</v>
      </c>
      <c r="E246" s="2" t="s">
        <v>129</v>
      </c>
      <c r="F246" s="2" t="s">
        <v>1917</v>
      </c>
      <c r="G246" s="2" t="s">
        <v>1918</v>
      </c>
      <c r="H246" s="2" t="s">
        <v>64</v>
      </c>
      <c r="J246" s="2" t="s">
        <v>1919</v>
      </c>
      <c r="K246" s="2" t="s">
        <v>1920</v>
      </c>
      <c r="L246" s="2" t="s">
        <v>1921</v>
      </c>
    </row>
    <row r="247" spans="1:12" ht="15.75" customHeight="1">
      <c r="A247" s="2">
        <f t="shared" si="0"/>
        <v>246</v>
      </c>
      <c r="B247" s="2">
        <v>254</v>
      </c>
      <c r="C247" s="2" t="s">
        <v>1922</v>
      </c>
      <c r="D247" s="2" t="s">
        <v>1923</v>
      </c>
      <c r="E247" s="2" t="s">
        <v>33</v>
      </c>
      <c r="F247" s="2" t="s">
        <v>1924</v>
      </c>
      <c r="G247" s="2" t="s">
        <v>1925</v>
      </c>
      <c r="H247" s="2" t="s">
        <v>64</v>
      </c>
      <c r="I247" s="2" t="s">
        <v>1926</v>
      </c>
      <c r="J247" s="2" t="s">
        <v>1927</v>
      </c>
      <c r="K247" s="2" t="s">
        <v>1928</v>
      </c>
      <c r="L247" s="2" t="s">
        <v>1929</v>
      </c>
    </row>
    <row r="248" spans="1:12" ht="15.75" customHeight="1">
      <c r="A248" s="2">
        <f t="shared" si="0"/>
        <v>247</v>
      </c>
      <c r="B248" s="2">
        <v>255</v>
      </c>
      <c r="C248" s="2" t="s">
        <v>1930</v>
      </c>
      <c r="D248" s="2" t="s">
        <v>1931</v>
      </c>
      <c r="E248" s="2" t="s">
        <v>498</v>
      </c>
      <c r="F248" s="2" t="s">
        <v>1932</v>
      </c>
      <c r="G248" s="2" t="s">
        <v>1933</v>
      </c>
      <c r="H248" s="2" t="s">
        <v>18</v>
      </c>
      <c r="J248" s="2" t="s">
        <v>1934</v>
      </c>
      <c r="K248" s="2" t="s">
        <v>1935</v>
      </c>
      <c r="L248" s="2" t="s">
        <v>1936</v>
      </c>
    </row>
    <row r="249" spans="1:12" ht="15.75" customHeight="1">
      <c r="A249" s="2">
        <f t="shared" si="0"/>
        <v>248</v>
      </c>
      <c r="B249" s="2">
        <v>256</v>
      </c>
      <c r="C249" s="2" t="s">
        <v>1937</v>
      </c>
      <c r="D249" s="2" t="s">
        <v>1938</v>
      </c>
      <c r="E249" s="2" t="s">
        <v>305</v>
      </c>
      <c r="F249" s="2" t="s">
        <v>1939</v>
      </c>
      <c r="G249" s="2" t="s">
        <v>1940</v>
      </c>
      <c r="H249" s="2" t="s">
        <v>18</v>
      </c>
      <c r="I249" s="2" t="s">
        <v>1941</v>
      </c>
      <c r="J249" s="2" t="s">
        <v>1942</v>
      </c>
      <c r="K249" s="2" t="s">
        <v>223</v>
      </c>
      <c r="L249" s="2" t="s">
        <v>1943</v>
      </c>
    </row>
    <row r="250" spans="1:12" ht="15.75" customHeight="1">
      <c r="A250" s="2">
        <f t="shared" si="0"/>
        <v>249</v>
      </c>
      <c r="B250" s="2">
        <v>257</v>
      </c>
      <c r="C250" s="2" t="s">
        <v>1944</v>
      </c>
      <c r="D250" s="2" t="s">
        <v>1945</v>
      </c>
      <c r="E250" s="2" t="s">
        <v>555</v>
      </c>
      <c r="F250" s="2" t="s">
        <v>1946</v>
      </c>
      <c r="G250" s="2" t="s">
        <v>1947</v>
      </c>
      <c r="H250" s="2" t="s">
        <v>64</v>
      </c>
      <c r="J250" s="2" t="s">
        <v>1948</v>
      </c>
      <c r="K250" s="2" t="s">
        <v>1949</v>
      </c>
      <c r="L250" s="2" t="s">
        <v>1950</v>
      </c>
    </row>
    <row r="251" spans="1:12" ht="15.75" customHeight="1">
      <c r="A251" s="2">
        <f t="shared" si="0"/>
        <v>250</v>
      </c>
      <c r="B251" s="2">
        <v>258</v>
      </c>
      <c r="C251" s="2" t="s">
        <v>1951</v>
      </c>
      <c r="D251" s="2" t="s">
        <v>1952</v>
      </c>
      <c r="E251" s="2" t="s">
        <v>171</v>
      </c>
      <c r="F251" s="2" t="s">
        <v>1953</v>
      </c>
      <c r="G251" s="2" t="s">
        <v>1954</v>
      </c>
      <c r="H251" s="2" t="s">
        <v>64</v>
      </c>
      <c r="I251" s="2" t="s">
        <v>1955</v>
      </c>
      <c r="J251" s="2" t="s">
        <v>1956</v>
      </c>
      <c r="K251" s="2" t="s">
        <v>1957</v>
      </c>
      <c r="L251" s="2" t="s">
        <v>1958</v>
      </c>
    </row>
    <row r="252" spans="1:12" ht="15.75" customHeight="1">
      <c r="A252" s="2">
        <f t="shared" si="0"/>
        <v>251</v>
      </c>
      <c r="B252" s="2">
        <v>259</v>
      </c>
      <c r="C252" s="2" t="s">
        <v>1959</v>
      </c>
      <c r="D252" s="2" t="s">
        <v>1960</v>
      </c>
      <c r="E252" s="2" t="s">
        <v>42</v>
      </c>
      <c r="F252" s="2" t="s">
        <v>1961</v>
      </c>
      <c r="G252" s="2" t="s">
        <v>1962</v>
      </c>
      <c r="H252" s="2" t="s">
        <v>64</v>
      </c>
      <c r="I252" s="2" t="s">
        <v>1963</v>
      </c>
      <c r="J252" s="2" t="s">
        <v>1964</v>
      </c>
      <c r="K252" s="2" t="s">
        <v>1965</v>
      </c>
      <c r="L252" s="2" t="s">
        <v>1966</v>
      </c>
    </row>
    <row r="253" spans="1:12" ht="15.75" customHeight="1">
      <c r="A253" s="2">
        <f t="shared" si="0"/>
        <v>252</v>
      </c>
      <c r="B253" s="2">
        <v>260</v>
      </c>
      <c r="C253" s="2" t="s">
        <v>1967</v>
      </c>
      <c r="D253" s="2" t="s">
        <v>1968</v>
      </c>
      <c r="E253" s="2" t="s">
        <v>598</v>
      </c>
      <c r="F253" s="2" t="s">
        <v>1969</v>
      </c>
      <c r="G253" s="2" t="s">
        <v>1970</v>
      </c>
      <c r="H253" s="2" t="s">
        <v>64</v>
      </c>
      <c r="I253" s="2" t="s">
        <v>1971</v>
      </c>
      <c r="J253" s="2" t="s">
        <v>1972</v>
      </c>
      <c r="K253" s="2" t="s">
        <v>223</v>
      </c>
      <c r="L253" s="2" t="s">
        <v>1973</v>
      </c>
    </row>
    <row r="254" spans="1:12" ht="15.75" customHeight="1">
      <c r="A254" s="2">
        <f t="shared" si="0"/>
        <v>253</v>
      </c>
      <c r="B254" s="2">
        <v>261</v>
      </c>
      <c r="C254" s="2" t="s">
        <v>1974</v>
      </c>
      <c r="D254" s="2" t="s">
        <v>1975</v>
      </c>
      <c r="E254" s="2" t="s">
        <v>900</v>
      </c>
      <c r="F254" s="2" t="s">
        <v>1976</v>
      </c>
      <c r="G254" s="2" t="s">
        <v>1977</v>
      </c>
      <c r="H254" s="2" t="s">
        <v>64</v>
      </c>
      <c r="I254" s="2" t="s">
        <v>1978</v>
      </c>
      <c r="J254" s="2" t="s">
        <v>1979</v>
      </c>
      <c r="K254" s="2" t="s">
        <v>223</v>
      </c>
      <c r="L254" s="2" t="s">
        <v>1980</v>
      </c>
    </row>
    <row r="255" spans="1:12" ht="15.75" customHeight="1">
      <c r="A255" s="2">
        <f t="shared" si="0"/>
        <v>254</v>
      </c>
      <c r="B255" s="2">
        <v>262</v>
      </c>
      <c r="C255" s="2" t="s">
        <v>1981</v>
      </c>
      <c r="D255" s="2" t="s">
        <v>1982</v>
      </c>
      <c r="E255" s="2" t="s">
        <v>52</v>
      </c>
      <c r="F255" s="2" t="s">
        <v>1983</v>
      </c>
      <c r="G255" s="2" t="s">
        <v>1984</v>
      </c>
      <c r="H255" s="2" t="s">
        <v>64</v>
      </c>
      <c r="I255" s="2" t="s">
        <v>1985</v>
      </c>
      <c r="J255" s="2" t="s">
        <v>1986</v>
      </c>
      <c r="K255" s="2" t="s">
        <v>1987</v>
      </c>
      <c r="L255" s="2" t="s">
        <v>1988</v>
      </c>
    </row>
    <row r="256" spans="1:12" ht="15.75" customHeight="1">
      <c r="A256" s="2">
        <f t="shared" si="0"/>
        <v>255</v>
      </c>
      <c r="B256" s="2">
        <v>263</v>
      </c>
      <c r="C256" s="2" t="s">
        <v>1989</v>
      </c>
      <c r="D256" s="2" t="s">
        <v>1990</v>
      </c>
      <c r="E256" s="2" t="s">
        <v>442</v>
      </c>
      <c r="F256" s="2" t="s">
        <v>1991</v>
      </c>
      <c r="G256" s="2" t="s">
        <v>1992</v>
      </c>
      <c r="H256" s="2" t="s">
        <v>18</v>
      </c>
      <c r="I256" s="2" t="s">
        <v>1993</v>
      </c>
      <c r="J256" s="2" t="s">
        <v>1994</v>
      </c>
      <c r="K256" s="2" t="s">
        <v>1995</v>
      </c>
      <c r="L256" s="2" t="s">
        <v>1996</v>
      </c>
    </row>
    <row r="257" spans="1:12" ht="15.75" customHeight="1">
      <c r="A257" s="2">
        <f t="shared" si="0"/>
        <v>256</v>
      </c>
      <c r="B257" s="2">
        <v>264</v>
      </c>
      <c r="C257" s="2" t="s">
        <v>1997</v>
      </c>
      <c r="D257" s="2" t="s">
        <v>1998</v>
      </c>
      <c r="E257" s="2" t="s">
        <v>442</v>
      </c>
      <c r="F257" s="2" t="s">
        <v>1999</v>
      </c>
      <c r="G257" s="2" t="s">
        <v>2000</v>
      </c>
      <c r="H257" s="2" t="s">
        <v>64</v>
      </c>
      <c r="I257" s="2" t="s">
        <v>2001</v>
      </c>
      <c r="J257" s="2" t="s">
        <v>2002</v>
      </c>
      <c r="K257" s="2" t="s">
        <v>2003</v>
      </c>
      <c r="L257" s="2" t="s">
        <v>2004</v>
      </c>
    </row>
    <row r="258" spans="1:12" ht="15.75" customHeight="1">
      <c r="A258" s="2">
        <f t="shared" si="0"/>
        <v>257</v>
      </c>
      <c r="B258" s="2">
        <v>265</v>
      </c>
      <c r="C258" s="2" t="s">
        <v>2005</v>
      </c>
      <c r="D258" s="2" t="s">
        <v>2006</v>
      </c>
      <c r="E258" s="2" t="s">
        <v>61</v>
      </c>
      <c r="F258" s="2" t="s">
        <v>2007</v>
      </c>
      <c r="G258" s="2" t="s">
        <v>2008</v>
      </c>
      <c r="H258" s="2" t="s">
        <v>64</v>
      </c>
      <c r="I258" s="2" t="s">
        <v>2009</v>
      </c>
      <c r="J258" s="2" t="s">
        <v>2010</v>
      </c>
      <c r="K258" s="2" t="s">
        <v>2011</v>
      </c>
      <c r="L258" s="2" t="s">
        <v>2012</v>
      </c>
    </row>
    <row r="259" spans="1:12" ht="15.75" customHeight="1">
      <c r="A259" s="2">
        <f t="shared" si="0"/>
        <v>258</v>
      </c>
      <c r="B259" s="2">
        <v>266</v>
      </c>
      <c r="C259" s="2" t="s">
        <v>2013</v>
      </c>
      <c r="D259" s="2" t="s">
        <v>2014</v>
      </c>
      <c r="E259" s="2" t="s">
        <v>442</v>
      </c>
      <c r="F259" s="2" t="s">
        <v>2015</v>
      </c>
      <c r="G259" s="2" t="s">
        <v>2016</v>
      </c>
      <c r="H259" s="2" t="s">
        <v>18</v>
      </c>
      <c r="I259" s="2" t="s">
        <v>2017</v>
      </c>
      <c r="J259" s="2" t="s">
        <v>2018</v>
      </c>
      <c r="K259" s="2" t="s">
        <v>223</v>
      </c>
      <c r="L259" s="2" t="s">
        <v>2019</v>
      </c>
    </row>
    <row r="260" spans="1:12" ht="15.75" customHeight="1">
      <c r="A260" s="2">
        <f t="shared" ref="A260:A298" si="1">A259+1</f>
        <v>259</v>
      </c>
      <c r="B260" s="2">
        <v>267</v>
      </c>
      <c r="C260" s="2" t="s">
        <v>2020</v>
      </c>
      <c r="D260" s="2" t="s">
        <v>2021</v>
      </c>
      <c r="E260" s="2" t="s">
        <v>373</v>
      </c>
      <c r="F260" s="2" t="s">
        <v>2022</v>
      </c>
      <c r="G260" s="2" t="s">
        <v>2023</v>
      </c>
      <c r="H260" s="2" t="s">
        <v>64</v>
      </c>
      <c r="I260" s="2" t="s">
        <v>2024</v>
      </c>
      <c r="J260" s="2" t="s">
        <v>2025</v>
      </c>
      <c r="K260" s="2" t="s">
        <v>2026</v>
      </c>
      <c r="L260" s="2" t="s">
        <v>2027</v>
      </c>
    </row>
    <row r="261" spans="1:12" ht="15.75" customHeight="1">
      <c r="A261" s="2">
        <f t="shared" si="1"/>
        <v>260</v>
      </c>
      <c r="B261" s="2">
        <v>268</v>
      </c>
      <c r="C261" s="2" t="s">
        <v>2028</v>
      </c>
      <c r="D261" s="2" t="s">
        <v>2029</v>
      </c>
      <c r="E261" s="2" t="s">
        <v>129</v>
      </c>
      <c r="F261" s="2" t="s">
        <v>2030</v>
      </c>
      <c r="G261" s="2" t="s">
        <v>2031</v>
      </c>
      <c r="H261" s="2" t="s">
        <v>64</v>
      </c>
      <c r="I261" s="2" t="s">
        <v>2032</v>
      </c>
      <c r="J261" s="2" t="s">
        <v>2033</v>
      </c>
      <c r="K261" s="2" t="s">
        <v>2034</v>
      </c>
      <c r="L261" s="2" t="s">
        <v>2035</v>
      </c>
    </row>
    <row r="262" spans="1:12" ht="15.75" customHeight="1">
      <c r="A262" s="2">
        <f t="shared" si="1"/>
        <v>261</v>
      </c>
      <c r="B262" s="2">
        <v>269</v>
      </c>
      <c r="C262" s="2" t="s">
        <v>2036</v>
      </c>
      <c r="D262" s="2" t="s">
        <v>2037</v>
      </c>
      <c r="E262" s="2" t="s">
        <v>33</v>
      </c>
      <c r="F262" s="2" t="s">
        <v>2038</v>
      </c>
      <c r="G262" s="2" t="s">
        <v>2039</v>
      </c>
      <c r="H262" s="2" t="s">
        <v>18</v>
      </c>
      <c r="I262" s="2" t="s">
        <v>2040</v>
      </c>
      <c r="J262" s="2" t="s">
        <v>2041</v>
      </c>
      <c r="K262" s="2" t="s">
        <v>2042</v>
      </c>
      <c r="L262" s="2" t="s">
        <v>2043</v>
      </c>
    </row>
    <row r="263" spans="1:12" ht="15.75" customHeight="1">
      <c r="A263" s="2">
        <f t="shared" si="1"/>
        <v>262</v>
      </c>
      <c r="B263" s="2">
        <v>270</v>
      </c>
      <c r="C263" s="2" t="s">
        <v>2044</v>
      </c>
      <c r="D263" s="2" t="s">
        <v>2045</v>
      </c>
      <c r="E263" s="2" t="s">
        <v>52</v>
      </c>
      <c r="F263" s="2" t="s">
        <v>2046</v>
      </c>
      <c r="G263" s="2" t="s">
        <v>2047</v>
      </c>
      <c r="H263" s="2" t="s">
        <v>64</v>
      </c>
      <c r="I263" s="2" t="s">
        <v>2048</v>
      </c>
      <c r="J263" s="2" t="s">
        <v>2049</v>
      </c>
      <c r="K263" s="2" t="s">
        <v>2050</v>
      </c>
      <c r="L263" s="2" t="s">
        <v>2051</v>
      </c>
    </row>
    <row r="264" spans="1:12" ht="15.75" customHeight="1">
      <c r="A264" s="2">
        <f t="shared" si="1"/>
        <v>263</v>
      </c>
      <c r="B264" s="2">
        <v>271</v>
      </c>
      <c r="C264" s="2" t="s">
        <v>2052</v>
      </c>
      <c r="D264" s="2" t="s">
        <v>2053</v>
      </c>
      <c r="E264" s="2" t="s">
        <v>113</v>
      </c>
      <c r="F264" s="2" t="s">
        <v>2054</v>
      </c>
      <c r="G264" s="2" t="s">
        <v>2055</v>
      </c>
      <c r="H264" s="2" t="s">
        <v>18</v>
      </c>
      <c r="J264" s="2" t="s">
        <v>2056</v>
      </c>
      <c r="K264" s="2" t="s">
        <v>2057</v>
      </c>
      <c r="L264" s="2" t="s">
        <v>2058</v>
      </c>
    </row>
    <row r="265" spans="1:12" ht="15.75" customHeight="1">
      <c r="A265" s="2">
        <f t="shared" si="1"/>
        <v>264</v>
      </c>
      <c r="B265" s="2">
        <v>272</v>
      </c>
      <c r="C265" s="2" t="s">
        <v>2059</v>
      </c>
      <c r="D265" s="2" t="s">
        <v>2060</v>
      </c>
      <c r="E265" s="2" t="s">
        <v>113</v>
      </c>
      <c r="F265" s="2" t="s">
        <v>2061</v>
      </c>
      <c r="G265" s="2" t="s">
        <v>2062</v>
      </c>
      <c r="H265" s="2" t="s">
        <v>18</v>
      </c>
      <c r="J265" s="2" t="s">
        <v>2063</v>
      </c>
      <c r="K265" s="2" t="s">
        <v>2064</v>
      </c>
      <c r="L265" s="2" t="s">
        <v>2065</v>
      </c>
    </row>
    <row r="266" spans="1:12" ht="15.75" customHeight="1">
      <c r="A266" s="2">
        <f t="shared" si="1"/>
        <v>265</v>
      </c>
      <c r="B266" s="2">
        <v>273</v>
      </c>
      <c r="C266" s="2" t="s">
        <v>2066</v>
      </c>
      <c r="D266" s="2" t="s">
        <v>2067</v>
      </c>
      <c r="E266" s="2" t="s">
        <v>179</v>
      </c>
      <c r="F266" s="2" t="s">
        <v>2068</v>
      </c>
      <c r="G266" s="2" t="s">
        <v>2069</v>
      </c>
      <c r="H266" s="2" t="s">
        <v>64</v>
      </c>
      <c r="I266" s="2" t="s">
        <v>2070</v>
      </c>
      <c r="J266" s="2" t="s">
        <v>2071</v>
      </c>
      <c r="K266" s="2" t="s">
        <v>2072</v>
      </c>
      <c r="L266" s="2" t="s">
        <v>2073</v>
      </c>
    </row>
    <row r="267" spans="1:12" ht="15.75" customHeight="1">
      <c r="A267" s="2">
        <f t="shared" si="1"/>
        <v>266</v>
      </c>
      <c r="B267" s="2">
        <v>274</v>
      </c>
      <c r="C267" s="2" t="s">
        <v>2074</v>
      </c>
      <c r="E267" s="2" t="s">
        <v>1020</v>
      </c>
      <c r="F267" s="2" t="s">
        <v>2075</v>
      </c>
      <c r="G267" s="2" t="s">
        <v>2076</v>
      </c>
      <c r="H267" s="2" t="s">
        <v>45</v>
      </c>
      <c r="I267" s="2" t="s">
        <v>2077</v>
      </c>
      <c r="J267" s="2" t="s">
        <v>2078</v>
      </c>
      <c r="K267" s="2" t="s">
        <v>2079</v>
      </c>
      <c r="L267" s="2" t="s">
        <v>294</v>
      </c>
    </row>
    <row r="268" spans="1:12" ht="15.75" customHeight="1">
      <c r="A268" s="2">
        <f t="shared" si="1"/>
        <v>267</v>
      </c>
      <c r="B268" s="2">
        <v>275</v>
      </c>
      <c r="C268" s="2" t="s">
        <v>2080</v>
      </c>
      <c r="D268" s="2" t="s">
        <v>2081</v>
      </c>
      <c r="E268" s="2" t="s">
        <v>113</v>
      </c>
      <c r="F268" s="2" t="s">
        <v>2082</v>
      </c>
      <c r="G268" s="2" t="s">
        <v>2083</v>
      </c>
      <c r="H268" s="2" t="s">
        <v>45</v>
      </c>
      <c r="I268" s="2" t="s">
        <v>2084</v>
      </c>
      <c r="J268" s="2" t="s">
        <v>2085</v>
      </c>
      <c r="K268" s="2" t="s">
        <v>2086</v>
      </c>
      <c r="L268" s="2" t="s">
        <v>2087</v>
      </c>
    </row>
    <row r="269" spans="1:12" ht="15.75" customHeight="1">
      <c r="A269" s="2">
        <f t="shared" si="1"/>
        <v>268</v>
      </c>
      <c r="B269" s="2">
        <v>276</v>
      </c>
      <c r="C269" s="2" t="s">
        <v>2088</v>
      </c>
      <c r="D269" s="2" t="s">
        <v>2089</v>
      </c>
      <c r="E269" s="2" t="s">
        <v>113</v>
      </c>
      <c r="F269" s="2" t="s">
        <v>2090</v>
      </c>
      <c r="G269" s="2" t="s">
        <v>2091</v>
      </c>
      <c r="H269" s="2" t="s">
        <v>45</v>
      </c>
      <c r="I269" s="2" t="s">
        <v>2092</v>
      </c>
      <c r="J269" s="2" t="s">
        <v>2093</v>
      </c>
      <c r="K269" s="2" t="s">
        <v>2094</v>
      </c>
      <c r="L269" s="2" t="s">
        <v>2095</v>
      </c>
    </row>
    <row r="270" spans="1:12" ht="15.75" customHeight="1">
      <c r="A270" s="2">
        <f t="shared" si="1"/>
        <v>269</v>
      </c>
      <c r="B270" s="2">
        <v>277</v>
      </c>
      <c r="C270" s="2" t="s">
        <v>2096</v>
      </c>
      <c r="D270" s="2" t="s">
        <v>2097</v>
      </c>
      <c r="E270" s="2" t="s">
        <v>33</v>
      </c>
      <c r="F270" s="2" t="s">
        <v>2098</v>
      </c>
      <c r="G270" s="2" t="s">
        <v>2099</v>
      </c>
      <c r="H270" s="2" t="s">
        <v>45</v>
      </c>
      <c r="I270" s="2" t="s">
        <v>2100</v>
      </c>
      <c r="J270" s="2" t="s">
        <v>2101</v>
      </c>
      <c r="K270" s="2" t="s">
        <v>2102</v>
      </c>
      <c r="L270" s="2" t="s">
        <v>2103</v>
      </c>
    </row>
    <row r="271" spans="1:12" ht="15.75" customHeight="1">
      <c r="A271" s="2">
        <f t="shared" si="1"/>
        <v>270</v>
      </c>
      <c r="B271" s="2">
        <v>278</v>
      </c>
      <c r="C271" s="2" t="s">
        <v>2104</v>
      </c>
      <c r="D271" s="2" t="s">
        <v>2105</v>
      </c>
      <c r="E271" s="2" t="s">
        <v>373</v>
      </c>
      <c r="F271" s="2" t="s">
        <v>2106</v>
      </c>
      <c r="G271" s="2" t="s">
        <v>2107</v>
      </c>
      <c r="H271" s="2" t="s">
        <v>45</v>
      </c>
      <c r="I271" s="2" t="s">
        <v>2108</v>
      </c>
      <c r="J271" s="2" t="s">
        <v>2109</v>
      </c>
      <c r="K271" s="2" t="s">
        <v>2110</v>
      </c>
      <c r="L271" s="2" t="s">
        <v>2111</v>
      </c>
    </row>
    <row r="272" spans="1:12" ht="15.75" customHeight="1">
      <c r="A272" s="2">
        <f t="shared" si="1"/>
        <v>271</v>
      </c>
      <c r="B272" s="2">
        <v>279</v>
      </c>
      <c r="C272" s="2" t="s">
        <v>2112</v>
      </c>
      <c r="D272" s="2" t="s">
        <v>2113</v>
      </c>
      <c r="E272" s="2" t="s">
        <v>227</v>
      </c>
      <c r="F272" s="2" t="s">
        <v>2114</v>
      </c>
      <c r="G272" s="2" t="s">
        <v>2115</v>
      </c>
      <c r="H272" s="2" t="s">
        <v>45</v>
      </c>
      <c r="I272" s="2" t="s">
        <v>2116</v>
      </c>
      <c r="J272" s="2" t="s">
        <v>2117</v>
      </c>
      <c r="K272" s="2" t="s">
        <v>2118</v>
      </c>
      <c r="L272" s="2" t="s">
        <v>2119</v>
      </c>
    </row>
    <row r="273" spans="1:12" ht="15.75" customHeight="1">
      <c r="A273" s="2">
        <f t="shared" si="1"/>
        <v>272</v>
      </c>
      <c r="B273" s="2">
        <v>280</v>
      </c>
      <c r="C273" s="2" t="s">
        <v>2120</v>
      </c>
      <c r="D273" s="2" t="s">
        <v>2121</v>
      </c>
      <c r="E273" s="2" t="s">
        <v>489</v>
      </c>
      <c r="F273" s="2" t="s">
        <v>2122</v>
      </c>
      <c r="G273" s="2" t="s">
        <v>2123</v>
      </c>
      <c r="H273" s="2" t="s">
        <v>45</v>
      </c>
      <c r="I273" s="2" t="s">
        <v>2124</v>
      </c>
      <c r="J273" s="2" t="s">
        <v>2125</v>
      </c>
      <c r="K273" s="2" t="s">
        <v>2126</v>
      </c>
      <c r="L273" s="2" t="s">
        <v>2127</v>
      </c>
    </row>
    <row r="274" spans="1:12" ht="15.75" customHeight="1">
      <c r="A274" s="2">
        <f t="shared" si="1"/>
        <v>273</v>
      </c>
      <c r="B274" s="2">
        <v>281</v>
      </c>
      <c r="C274" s="2" t="s">
        <v>59</v>
      </c>
      <c r="D274" s="2" t="s">
        <v>2128</v>
      </c>
      <c r="E274" s="2" t="s">
        <v>33</v>
      </c>
      <c r="F274" s="2" t="s">
        <v>2129</v>
      </c>
      <c r="G274" s="2" t="s">
        <v>2130</v>
      </c>
      <c r="H274" s="2" t="s">
        <v>18</v>
      </c>
      <c r="I274" s="2" t="s">
        <v>2131</v>
      </c>
      <c r="J274" s="2" t="s">
        <v>2132</v>
      </c>
      <c r="K274" s="2" t="s">
        <v>2133</v>
      </c>
      <c r="L274" s="2" t="s">
        <v>2134</v>
      </c>
    </row>
    <row r="275" spans="1:12" ht="15.75" customHeight="1">
      <c r="A275" s="2">
        <f t="shared" si="1"/>
        <v>274</v>
      </c>
      <c r="B275" s="2">
        <v>282</v>
      </c>
      <c r="C275" s="2" t="s">
        <v>2135</v>
      </c>
      <c r="D275" s="2" t="s">
        <v>2136</v>
      </c>
      <c r="E275" s="2" t="s">
        <v>52</v>
      </c>
      <c r="F275" s="2" t="s">
        <v>2137</v>
      </c>
      <c r="G275" s="2" t="s">
        <v>2138</v>
      </c>
      <c r="H275" s="2" t="s">
        <v>64</v>
      </c>
      <c r="I275" s="2" t="s">
        <v>2139</v>
      </c>
      <c r="J275" s="2" t="s">
        <v>2140</v>
      </c>
      <c r="K275" s="2" t="s">
        <v>2141</v>
      </c>
      <c r="L275" s="2" t="s">
        <v>2142</v>
      </c>
    </row>
    <row r="276" spans="1:12" ht="15.75" customHeight="1">
      <c r="A276" s="2">
        <f t="shared" si="1"/>
        <v>275</v>
      </c>
      <c r="B276" s="2">
        <v>283</v>
      </c>
      <c r="C276" s="2" t="s">
        <v>2143</v>
      </c>
      <c r="D276" s="2" t="s">
        <v>2144</v>
      </c>
      <c r="E276" s="2" t="s">
        <v>25</v>
      </c>
      <c r="F276" s="2" t="s">
        <v>2145</v>
      </c>
      <c r="G276" s="2" t="s">
        <v>2146</v>
      </c>
      <c r="H276" s="2" t="s">
        <v>64</v>
      </c>
      <c r="I276" s="2" t="s">
        <v>2147</v>
      </c>
      <c r="J276" s="2" t="s">
        <v>2148</v>
      </c>
      <c r="K276" s="2" t="s">
        <v>2149</v>
      </c>
      <c r="L276" s="2" t="s">
        <v>2150</v>
      </c>
    </row>
    <row r="277" spans="1:12" ht="15.75" customHeight="1">
      <c r="A277" s="2">
        <f t="shared" si="1"/>
        <v>276</v>
      </c>
      <c r="B277" s="2">
        <v>284</v>
      </c>
      <c r="C277" s="2" t="s">
        <v>2151</v>
      </c>
      <c r="D277" s="2" t="s">
        <v>2152</v>
      </c>
      <c r="E277" s="2" t="s">
        <v>52</v>
      </c>
      <c r="F277" s="2" t="s">
        <v>2153</v>
      </c>
      <c r="G277" s="2" t="s">
        <v>2154</v>
      </c>
      <c r="H277" s="2" t="s">
        <v>64</v>
      </c>
      <c r="J277" s="2" t="s">
        <v>2155</v>
      </c>
      <c r="K277" s="2" t="s">
        <v>2156</v>
      </c>
      <c r="L277" s="2" t="s">
        <v>668</v>
      </c>
    </row>
    <row r="278" spans="1:12" ht="15.75" customHeight="1">
      <c r="A278" s="2">
        <f t="shared" si="1"/>
        <v>277</v>
      </c>
      <c r="B278" s="2">
        <v>285</v>
      </c>
      <c r="C278" s="2" t="s">
        <v>2157</v>
      </c>
      <c r="D278" s="2" t="s">
        <v>2158</v>
      </c>
      <c r="E278" s="2" t="s">
        <v>52</v>
      </c>
      <c r="F278" s="2" t="s">
        <v>2159</v>
      </c>
      <c r="G278" s="2" t="s">
        <v>2160</v>
      </c>
      <c r="H278" s="2" t="s">
        <v>64</v>
      </c>
      <c r="J278" s="2" t="s">
        <v>2161</v>
      </c>
      <c r="K278" s="2" t="s">
        <v>2162</v>
      </c>
      <c r="L278" s="2" t="s">
        <v>2163</v>
      </c>
    </row>
    <row r="279" spans="1:12" ht="15.75" customHeight="1">
      <c r="A279" s="2">
        <f t="shared" si="1"/>
        <v>278</v>
      </c>
      <c r="B279" s="2">
        <v>286</v>
      </c>
      <c r="C279" s="2" t="s">
        <v>2164</v>
      </c>
      <c r="D279" s="2" t="s">
        <v>2165</v>
      </c>
      <c r="E279" s="2" t="s">
        <v>113</v>
      </c>
      <c r="F279" s="2" t="s">
        <v>2166</v>
      </c>
      <c r="G279" s="2" t="s">
        <v>2167</v>
      </c>
      <c r="H279" s="2" t="s">
        <v>18</v>
      </c>
      <c r="J279" s="2" t="s">
        <v>2168</v>
      </c>
      <c r="K279" s="2" t="s">
        <v>2169</v>
      </c>
      <c r="L279" s="2" t="s">
        <v>2170</v>
      </c>
    </row>
    <row r="280" spans="1:12" ht="15.75" customHeight="1">
      <c r="A280" s="2">
        <f t="shared" si="1"/>
        <v>279</v>
      </c>
      <c r="B280" s="2">
        <v>287</v>
      </c>
      <c r="C280" s="2" t="s">
        <v>2171</v>
      </c>
      <c r="D280" s="2" t="s">
        <v>2172</v>
      </c>
      <c r="E280" s="2" t="s">
        <v>42</v>
      </c>
      <c r="F280" s="2" t="s">
        <v>2173</v>
      </c>
      <c r="G280" s="2" t="s">
        <v>1962</v>
      </c>
      <c r="H280" s="2" t="s">
        <v>64</v>
      </c>
      <c r="I280" s="2" t="s">
        <v>2174</v>
      </c>
      <c r="J280" s="2" t="s">
        <v>2175</v>
      </c>
      <c r="K280" s="2" t="s">
        <v>2176</v>
      </c>
      <c r="L280" s="2" t="s">
        <v>68</v>
      </c>
    </row>
    <row r="281" spans="1:12" ht="15.75" customHeight="1">
      <c r="A281" s="2">
        <f t="shared" si="1"/>
        <v>280</v>
      </c>
      <c r="B281" s="2">
        <v>288</v>
      </c>
      <c r="C281" s="2" t="s">
        <v>2177</v>
      </c>
      <c r="D281" s="2" t="s">
        <v>2178</v>
      </c>
      <c r="E281" s="2" t="s">
        <v>113</v>
      </c>
      <c r="F281" s="2" t="s">
        <v>2179</v>
      </c>
      <c r="G281" s="2" t="s">
        <v>2180</v>
      </c>
      <c r="H281" s="2" t="s">
        <v>18</v>
      </c>
      <c r="I281" s="2" t="s">
        <v>2181</v>
      </c>
      <c r="J281" s="2" t="s">
        <v>2182</v>
      </c>
      <c r="K281" s="2" t="s">
        <v>2183</v>
      </c>
      <c r="L281" s="2" t="s">
        <v>2184</v>
      </c>
    </row>
    <row r="282" spans="1:12" ht="15.75" customHeight="1">
      <c r="A282" s="2">
        <f t="shared" si="1"/>
        <v>281</v>
      </c>
      <c r="B282" s="2">
        <v>289</v>
      </c>
      <c r="C282" s="2" t="s">
        <v>2185</v>
      </c>
      <c r="D282" s="2" t="s">
        <v>2186</v>
      </c>
      <c r="E282" s="2" t="s">
        <v>442</v>
      </c>
      <c r="F282" s="2" t="s">
        <v>2187</v>
      </c>
      <c r="G282" s="2" t="s">
        <v>2188</v>
      </c>
      <c r="H282" s="2" t="s">
        <v>64</v>
      </c>
      <c r="I282" s="2" t="s">
        <v>2189</v>
      </c>
      <c r="J282" s="2" t="s">
        <v>2190</v>
      </c>
      <c r="K282" s="2" t="s">
        <v>2191</v>
      </c>
      <c r="L282" s="2" t="s">
        <v>2192</v>
      </c>
    </row>
    <row r="283" spans="1:12" ht="15.75" customHeight="1">
      <c r="A283" s="2">
        <f t="shared" si="1"/>
        <v>282</v>
      </c>
      <c r="B283" s="2">
        <v>290</v>
      </c>
      <c r="C283" s="2" t="s">
        <v>2193</v>
      </c>
      <c r="D283" s="2" t="s">
        <v>2194</v>
      </c>
      <c r="E283" s="2" t="s">
        <v>235</v>
      </c>
      <c r="F283" s="2" t="s">
        <v>2195</v>
      </c>
      <c r="G283" s="2" t="s">
        <v>2196</v>
      </c>
      <c r="H283" s="2" t="s">
        <v>18</v>
      </c>
      <c r="I283" s="2" t="s">
        <v>2197</v>
      </c>
      <c r="J283" s="2" t="s">
        <v>2198</v>
      </c>
      <c r="K283" s="2" t="s">
        <v>2199</v>
      </c>
      <c r="L283" s="2" t="s">
        <v>2200</v>
      </c>
    </row>
    <row r="284" spans="1:12" ht="15.75" customHeight="1">
      <c r="A284" s="2">
        <f t="shared" si="1"/>
        <v>283</v>
      </c>
      <c r="B284" s="2">
        <v>291</v>
      </c>
      <c r="C284" s="2" t="s">
        <v>2201</v>
      </c>
      <c r="D284" s="2" t="s">
        <v>2202</v>
      </c>
      <c r="E284" s="2" t="s">
        <v>442</v>
      </c>
      <c r="F284" s="2" t="s">
        <v>2203</v>
      </c>
      <c r="G284" s="2" t="s">
        <v>2204</v>
      </c>
      <c r="H284" s="2" t="s">
        <v>64</v>
      </c>
      <c r="I284" s="2" t="s">
        <v>2205</v>
      </c>
      <c r="J284" s="2" t="s">
        <v>2206</v>
      </c>
      <c r="K284" s="2" t="s">
        <v>2207</v>
      </c>
      <c r="L284" s="2" t="s">
        <v>2208</v>
      </c>
    </row>
    <row r="285" spans="1:12" ht="15.75" customHeight="1">
      <c r="A285" s="2">
        <f t="shared" si="1"/>
        <v>284</v>
      </c>
      <c r="B285" s="2">
        <v>292</v>
      </c>
      <c r="C285" s="2" t="s">
        <v>2209</v>
      </c>
      <c r="D285" s="2" t="s">
        <v>2210</v>
      </c>
      <c r="E285" s="2" t="s">
        <v>480</v>
      </c>
      <c r="F285" s="2" t="s">
        <v>2211</v>
      </c>
      <c r="G285" s="2" t="s">
        <v>2212</v>
      </c>
      <c r="H285" s="2" t="s">
        <v>64</v>
      </c>
      <c r="I285" s="2" t="s">
        <v>2213</v>
      </c>
      <c r="J285" s="2" t="s">
        <v>2214</v>
      </c>
      <c r="K285" s="2" t="s">
        <v>2215</v>
      </c>
      <c r="L285" s="2" t="s">
        <v>2216</v>
      </c>
    </row>
    <row r="286" spans="1:12" ht="15.75" customHeight="1">
      <c r="A286" s="2">
        <f t="shared" si="1"/>
        <v>285</v>
      </c>
      <c r="B286" s="2">
        <v>293</v>
      </c>
      <c r="C286" s="2" t="s">
        <v>2217</v>
      </c>
      <c r="D286" s="2" t="s">
        <v>2218</v>
      </c>
      <c r="E286" s="2" t="s">
        <v>1577</v>
      </c>
      <c r="F286" s="2" t="s">
        <v>2219</v>
      </c>
      <c r="G286" s="2" t="s">
        <v>2220</v>
      </c>
      <c r="H286" s="2" t="s">
        <v>64</v>
      </c>
      <c r="J286" s="2" t="s">
        <v>2221</v>
      </c>
      <c r="K286" s="2" t="s">
        <v>2222</v>
      </c>
      <c r="L286" s="2" t="s">
        <v>2223</v>
      </c>
    </row>
    <row r="287" spans="1:12" ht="15.75" customHeight="1">
      <c r="A287" s="2">
        <f t="shared" si="1"/>
        <v>286</v>
      </c>
      <c r="B287" s="2">
        <v>294</v>
      </c>
      <c r="C287" s="2" t="s">
        <v>2224</v>
      </c>
      <c r="D287" s="2" t="s">
        <v>2225</v>
      </c>
      <c r="E287" s="2" t="s">
        <v>489</v>
      </c>
      <c r="F287" s="2" t="s">
        <v>2226</v>
      </c>
      <c r="G287" s="2" t="s">
        <v>2227</v>
      </c>
      <c r="H287" s="2" t="s">
        <v>64</v>
      </c>
      <c r="I287" s="2" t="s">
        <v>2228</v>
      </c>
      <c r="J287" s="2" t="s">
        <v>2229</v>
      </c>
      <c r="K287" s="2" t="s">
        <v>2230</v>
      </c>
      <c r="L287" s="2" t="s">
        <v>2231</v>
      </c>
    </row>
    <row r="288" spans="1:12" ht="15.75" customHeight="1">
      <c r="A288" s="2">
        <f t="shared" si="1"/>
        <v>287</v>
      </c>
      <c r="B288" s="2">
        <v>295</v>
      </c>
      <c r="C288" s="2" t="s">
        <v>2232</v>
      </c>
      <c r="D288" s="2" t="s">
        <v>2233</v>
      </c>
      <c r="E288" s="2" t="s">
        <v>129</v>
      </c>
      <c r="F288" s="2" t="s">
        <v>2234</v>
      </c>
      <c r="G288" s="2" t="s">
        <v>2235</v>
      </c>
      <c r="H288" s="2" t="s">
        <v>45</v>
      </c>
      <c r="I288" s="2" t="s">
        <v>2236</v>
      </c>
      <c r="J288" s="2" t="s">
        <v>2237</v>
      </c>
      <c r="K288" s="2" t="s">
        <v>2238</v>
      </c>
      <c r="L288" s="2" t="s">
        <v>2239</v>
      </c>
    </row>
    <row r="289" spans="1:13" ht="15.75" customHeight="1">
      <c r="A289" s="2">
        <f t="shared" si="1"/>
        <v>288</v>
      </c>
      <c r="B289" s="2">
        <v>296</v>
      </c>
      <c r="C289" s="2" t="s">
        <v>2240</v>
      </c>
      <c r="D289" s="2" t="s">
        <v>2241</v>
      </c>
      <c r="E289" s="2" t="s">
        <v>42</v>
      </c>
      <c r="F289" s="2" t="s">
        <v>2242</v>
      </c>
      <c r="G289" s="2" t="s">
        <v>2243</v>
      </c>
      <c r="H289" s="2" t="s">
        <v>18</v>
      </c>
      <c r="I289" s="2" t="s">
        <v>2244</v>
      </c>
      <c r="J289" s="2" t="s">
        <v>2245</v>
      </c>
      <c r="K289" s="2" t="s">
        <v>2246</v>
      </c>
      <c r="L289" s="2" t="s">
        <v>2247</v>
      </c>
    </row>
    <row r="290" spans="1:13" ht="15.75" customHeight="1">
      <c r="A290" s="2">
        <f t="shared" si="1"/>
        <v>289</v>
      </c>
      <c r="C290" s="2" t="s">
        <v>2248</v>
      </c>
      <c r="D290" s="2" t="s">
        <v>2249</v>
      </c>
      <c r="E290" s="2" t="s">
        <v>129</v>
      </c>
      <c r="F290" s="2" t="s">
        <v>2250</v>
      </c>
      <c r="G290" s="2" t="s">
        <v>2251</v>
      </c>
      <c r="H290" s="2" t="s">
        <v>45</v>
      </c>
      <c r="I290" s="2" t="s">
        <v>2252</v>
      </c>
      <c r="J290" s="2" t="s">
        <v>2253</v>
      </c>
      <c r="K290" s="2" t="s">
        <v>1582</v>
      </c>
      <c r="L290" s="2" t="s">
        <v>2254</v>
      </c>
      <c r="M290" s="2">
        <v>0</v>
      </c>
    </row>
    <row r="291" spans="1:13" ht="15.75" customHeight="1">
      <c r="A291" s="2">
        <f t="shared" si="1"/>
        <v>290</v>
      </c>
      <c r="C291" s="2" t="s">
        <v>2255</v>
      </c>
      <c r="D291" s="2" t="s">
        <v>2256</v>
      </c>
      <c r="E291" s="2" t="s">
        <v>129</v>
      </c>
      <c r="F291" s="2" t="s">
        <v>2257</v>
      </c>
      <c r="G291" s="2" t="s">
        <v>2258</v>
      </c>
      <c r="H291" s="2" t="s">
        <v>45</v>
      </c>
      <c r="I291" s="2" t="s">
        <v>2259</v>
      </c>
      <c r="J291" s="2" t="s">
        <v>2253</v>
      </c>
      <c r="K291" s="2" t="s">
        <v>2260</v>
      </c>
      <c r="L291" s="2" t="s">
        <v>2261</v>
      </c>
      <c r="M291" s="2">
        <v>1</v>
      </c>
    </row>
    <row r="292" spans="1:13" ht="15.75" customHeight="1">
      <c r="A292" s="2">
        <f t="shared" si="1"/>
        <v>291</v>
      </c>
      <c r="C292" s="2" t="s">
        <v>2262</v>
      </c>
      <c r="D292" s="2" t="s">
        <v>2263</v>
      </c>
      <c r="E292" s="2" t="s">
        <v>113</v>
      </c>
      <c r="F292" s="2" t="s">
        <v>2264</v>
      </c>
      <c r="G292" s="2" t="s">
        <v>2265</v>
      </c>
      <c r="H292" s="2" t="s">
        <v>45</v>
      </c>
      <c r="I292" s="2" t="s">
        <v>2266</v>
      </c>
      <c r="J292" s="2" t="s">
        <v>2253</v>
      </c>
      <c r="K292" s="2" t="s">
        <v>2267</v>
      </c>
      <c r="L292" s="2" t="s">
        <v>2268</v>
      </c>
      <c r="M292" s="2">
        <v>2</v>
      </c>
    </row>
    <row r="293" spans="1:13" ht="15.75" customHeight="1">
      <c r="A293" s="2">
        <f t="shared" si="1"/>
        <v>292</v>
      </c>
      <c r="C293" s="2" t="s">
        <v>2269</v>
      </c>
      <c r="D293" s="2" t="s">
        <v>2270</v>
      </c>
      <c r="E293" s="2" t="s">
        <v>52</v>
      </c>
      <c r="F293" s="2" t="s">
        <v>2271</v>
      </c>
      <c r="G293" s="2" t="s">
        <v>2272</v>
      </c>
      <c r="H293" s="2" t="s">
        <v>45</v>
      </c>
      <c r="I293" s="2" t="s">
        <v>2273</v>
      </c>
      <c r="J293" s="2" t="s">
        <v>2253</v>
      </c>
      <c r="K293" s="2" t="s">
        <v>2274</v>
      </c>
      <c r="L293" s="2" t="s">
        <v>2275</v>
      </c>
      <c r="M293" s="2">
        <v>3</v>
      </c>
    </row>
    <row r="294" spans="1:13" ht="15.75" customHeight="1">
      <c r="A294" s="2">
        <f t="shared" si="1"/>
        <v>293</v>
      </c>
      <c r="C294" s="2" t="s">
        <v>2276</v>
      </c>
      <c r="D294" s="2" t="s">
        <v>2277</v>
      </c>
      <c r="E294" s="2" t="s">
        <v>305</v>
      </c>
      <c r="F294" s="2" t="s">
        <v>2278</v>
      </c>
      <c r="G294" s="2" t="s">
        <v>2279</v>
      </c>
      <c r="H294" s="2" t="s">
        <v>18</v>
      </c>
      <c r="I294" s="2" t="s">
        <v>2280</v>
      </c>
      <c r="J294" s="2" t="s">
        <v>2281</v>
      </c>
      <c r="K294" s="2" t="s">
        <v>2282</v>
      </c>
      <c r="L294" s="2" t="s">
        <v>2283</v>
      </c>
      <c r="M294" s="2">
        <v>73</v>
      </c>
    </row>
    <row r="295" spans="1:13" ht="15.75" customHeight="1">
      <c r="A295" s="2">
        <f t="shared" si="1"/>
        <v>294</v>
      </c>
      <c r="C295" s="2" t="s">
        <v>2284</v>
      </c>
      <c r="D295" s="2" t="s">
        <v>2285</v>
      </c>
      <c r="E295" s="2" t="s">
        <v>2286</v>
      </c>
      <c r="F295" s="2" t="s">
        <v>2287</v>
      </c>
      <c r="G295" s="2" t="s">
        <v>2288</v>
      </c>
      <c r="H295" s="2" t="s">
        <v>64</v>
      </c>
      <c r="I295" s="2" t="s">
        <v>2289</v>
      </c>
      <c r="J295" s="2" t="s">
        <v>2290</v>
      </c>
      <c r="K295" s="2" t="s">
        <v>2291</v>
      </c>
      <c r="L295" s="2" t="s">
        <v>2292</v>
      </c>
      <c r="M295" s="2">
        <v>99</v>
      </c>
    </row>
    <row r="296" spans="1:13" ht="15.75" customHeight="1">
      <c r="A296" s="2">
        <f t="shared" si="1"/>
        <v>295</v>
      </c>
      <c r="C296" s="2" t="s">
        <v>2293</v>
      </c>
      <c r="D296" s="2" t="s">
        <v>2294</v>
      </c>
      <c r="E296" s="2" t="s">
        <v>129</v>
      </c>
      <c r="F296" s="2" t="s">
        <v>2295</v>
      </c>
      <c r="G296" s="2" t="s">
        <v>2296</v>
      </c>
      <c r="H296" s="2" t="s">
        <v>64</v>
      </c>
      <c r="I296" s="2" t="s">
        <v>2297</v>
      </c>
      <c r="J296" s="2" t="s">
        <v>2298</v>
      </c>
      <c r="K296" s="2" t="s">
        <v>2291</v>
      </c>
      <c r="L296" s="2" t="s">
        <v>2299</v>
      </c>
      <c r="M296" s="2">
        <v>212</v>
      </c>
    </row>
    <row r="297" spans="1:13" ht="15.75" customHeight="1">
      <c r="A297" s="2">
        <f t="shared" si="1"/>
        <v>296</v>
      </c>
      <c r="C297" s="2" t="s">
        <v>2300</v>
      </c>
      <c r="D297" s="2" t="s">
        <v>2301</v>
      </c>
      <c r="E297" s="2" t="s">
        <v>25</v>
      </c>
      <c r="F297" s="2" t="s">
        <v>2302</v>
      </c>
      <c r="G297" s="2" t="s">
        <v>2303</v>
      </c>
      <c r="H297" s="2" t="s">
        <v>18</v>
      </c>
      <c r="I297" s="2" t="s">
        <v>2304</v>
      </c>
      <c r="J297" s="2" t="s">
        <v>2305</v>
      </c>
      <c r="K297" s="2" t="s">
        <v>2306</v>
      </c>
      <c r="L297" s="2" t="s">
        <v>2283</v>
      </c>
      <c r="M297" s="2">
        <v>232</v>
      </c>
    </row>
    <row r="298" spans="1:13" ht="15.75" customHeight="1">
      <c r="A298" s="2">
        <f t="shared" si="1"/>
        <v>297</v>
      </c>
      <c r="C298" s="2" t="s">
        <v>2307</v>
      </c>
      <c r="D298" s="2" t="s">
        <v>2308</v>
      </c>
      <c r="E298" s="2" t="s">
        <v>2309</v>
      </c>
      <c r="F298" s="2" t="s">
        <v>2310</v>
      </c>
      <c r="G298" s="2" t="s">
        <v>2311</v>
      </c>
      <c r="H298" s="2" t="s">
        <v>64</v>
      </c>
      <c r="I298" s="2" t="s">
        <v>2312</v>
      </c>
      <c r="J298" s="2" t="s">
        <v>2253</v>
      </c>
      <c r="K298" s="2" t="s">
        <v>2291</v>
      </c>
      <c r="L298" s="2" t="s">
        <v>2313</v>
      </c>
      <c r="M298" s="2">
        <v>297</v>
      </c>
    </row>
    <row r="299" spans="1:13" ht="15.75" customHeight="1"/>
    <row r="300" spans="1:13" ht="15.75" customHeight="1"/>
    <row r="301" spans="1:13" ht="15.75" customHeight="1"/>
    <row r="302" spans="1:13" ht="15.75" customHeight="1"/>
    <row r="303" spans="1:13" ht="15.75" customHeight="1"/>
    <row r="304" spans="1:13"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pane ySplit="1" topLeftCell="A41" activePane="bottomLeft" state="frozen"/>
      <selection pane="bottomLeft" activeCell="B5" sqref="B5"/>
    </sheetView>
  </sheetViews>
  <sheetFormatPr defaultColWidth="14.42578125" defaultRowHeight="15" customHeight="1"/>
  <cols>
    <col min="1" max="1" width="31.28515625" customWidth="1"/>
    <col min="2" max="2" width="19.42578125" customWidth="1"/>
    <col min="3" max="3" width="20.7109375" customWidth="1"/>
    <col min="4" max="4" width="8.7109375" customWidth="1"/>
    <col min="5" max="5" width="15.7109375" bestFit="1" customWidth="1"/>
    <col min="6" max="25" width="8.7109375" customWidth="1"/>
  </cols>
  <sheetData>
    <row r="1" spans="1:5" ht="47.25">
      <c r="A1" s="3" t="s">
        <v>2314</v>
      </c>
      <c r="B1" s="16" t="s">
        <v>2315</v>
      </c>
      <c r="C1" s="11" t="s">
        <v>2316</v>
      </c>
      <c r="D1" s="23" t="s">
        <v>2317</v>
      </c>
      <c r="E1" s="24" t="s">
        <v>2318</v>
      </c>
    </row>
    <row r="2" spans="1:5">
      <c r="A2" s="4" t="s">
        <v>386</v>
      </c>
      <c r="B2" s="5">
        <v>249</v>
      </c>
      <c r="C2" s="13">
        <f>B2/sectors_Analysis!$F$2</f>
        <v>0.83838383838383834</v>
      </c>
      <c r="D2" s="17">
        <f t="shared" ref="D2:D16" si="0">B2/$B$17</f>
        <v>0.10020120724346077</v>
      </c>
      <c r="E2" s="17">
        <f>D2</f>
        <v>0.10020120724346077</v>
      </c>
    </row>
    <row r="3" spans="1:5">
      <c r="A3" s="6" t="s">
        <v>2319</v>
      </c>
      <c r="B3" s="7">
        <v>218</v>
      </c>
      <c r="C3" s="15">
        <f>B3/sectors_Analysis!$F$2</f>
        <v>0.734006734006734</v>
      </c>
      <c r="D3" s="17">
        <f t="shared" si="0"/>
        <v>8.772635814889336E-2</v>
      </c>
      <c r="E3" s="17">
        <f>E2+D3</f>
        <v>0.18792756539235411</v>
      </c>
    </row>
    <row r="4" spans="1:5">
      <c r="A4" s="4" t="s">
        <v>2320</v>
      </c>
      <c r="B4" s="5">
        <v>211</v>
      </c>
      <c r="C4" s="13">
        <f>B4/sectors_Analysis!$F$2</f>
        <v>0.71043771043771042</v>
      </c>
      <c r="D4" s="17">
        <f t="shared" si="0"/>
        <v>8.490945674044266E-2</v>
      </c>
      <c r="E4" s="17">
        <f t="shared" ref="E4:E16" si="1">E3+D4</f>
        <v>0.27283702213279676</v>
      </c>
    </row>
    <row r="5" spans="1:5">
      <c r="A5" s="6" t="s">
        <v>2321</v>
      </c>
      <c r="B5" s="7">
        <v>206</v>
      </c>
      <c r="C5" s="15">
        <f>B5/sectors_Analysis!$F$2</f>
        <v>0.69360269360269355</v>
      </c>
      <c r="D5" s="17">
        <f t="shared" si="0"/>
        <v>8.2897384305835015E-2</v>
      </c>
      <c r="E5" s="17">
        <f t="shared" si="1"/>
        <v>0.35573440643863175</v>
      </c>
    </row>
    <row r="6" spans="1:5">
      <c r="A6" s="4" t="s">
        <v>2260</v>
      </c>
      <c r="B6" s="5">
        <v>202</v>
      </c>
      <c r="C6" s="13">
        <f>B6/sectors_Analysis!$F$2</f>
        <v>0.68013468013468015</v>
      </c>
      <c r="D6" s="17">
        <f t="shared" si="0"/>
        <v>8.128772635814889E-2</v>
      </c>
      <c r="E6" s="17">
        <f t="shared" si="1"/>
        <v>0.43702213279678065</v>
      </c>
    </row>
    <row r="7" spans="1:5">
      <c r="A7" s="6" t="s">
        <v>2322</v>
      </c>
      <c r="B7" s="7">
        <v>199</v>
      </c>
      <c r="C7" s="15">
        <f>B7/sectors_Analysis!$F$2</f>
        <v>0.67003367003366998</v>
      </c>
      <c r="D7" s="17">
        <f t="shared" si="0"/>
        <v>8.00804828973843E-2</v>
      </c>
      <c r="E7" s="17">
        <f t="shared" si="1"/>
        <v>0.51710261569416494</v>
      </c>
    </row>
    <row r="8" spans="1:5">
      <c r="A8" s="4" t="s">
        <v>2323</v>
      </c>
      <c r="B8" s="5">
        <v>191</v>
      </c>
      <c r="C8" s="13">
        <f>B8/sectors_Analysis!$F$2</f>
        <v>0.64309764309764306</v>
      </c>
      <c r="D8" s="17">
        <f t="shared" si="0"/>
        <v>7.6861167002012079E-2</v>
      </c>
      <c r="E8" s="17">
        <f t="shared" si="1"/>
        <v>0.593963782696177</v>
      </c>
    </row>
    <row r="9" spans="1:5">
      <c r="A9" s="6" t="s">
        <v>2324</v>
      </c>
      <c r="B9" s="7">
        <v>161</v>
      </c>
      <c r="C9" s="15">
        <f>B9/sectors_Analysis!$F$2</f>
        <v>0.54208754208754206</v>
      </c>
      <c r="D9" s="17">
        <f t="shared" si="0"/>
        <v>6.4788732394366194E-2</v>
      </c>
      <c r="E9" s="17">
        <f t="shared" si="1"/>
        <v>0.65875251509054322</v>
      </c>
    </row>
    <row r="10" spans="1:5">
      <c r="A10" s="4" t="s">
        <v>1393</v>
      </c>
      <c r="B10" s="5">
        <v>145</v>
      </c>
      <c r="C10" s="13">
        <f>B10/sectors_Analysis!$F$2</f>
        <v>0.48821548821548821</v>
      </c>
      <c r="D10" s="17">
        <f t="shared" si="0"/>
        <v>5.8350100603621731E-2</v>
      </c>
      <c r="E10" s="17">
        <f t="shared" si="1"/>
        <v>0.717102615694165</v>
      </c>
    </row>
    <row r="11" spans="1:5">
      <c r="A11" s="6" t="s">
        <v>2325</v>
      </c>
      <c r="B11" s="7">
        <v>134</v>
      </c>
      <c r="C11" s="15">
        <f>B11/sectors_Analysis!$F$2</f>
        <v>0.45117845117845118</v>
      </c>
      <c r="D11" s="17">
        <f t="shared" si="0"/>
        <v>5.3923541247484906E-2</v>
      </c>
      <c r="E11" s="17">
        <f t="shared" si="1"/>
        <v>0.77102615694164989</v>
      </c>
    </row>
    <row r="12" spans="1:5">
      <c r="A12" s="4" t="s">
        <v>2326</v>
      </c>
      <c r="B12" s="5">
        <v>129</v>
      </c>
      <c r="C12" s="13">
        <f>B12/sectors_Analysis!$F$2</f>
        <v>0.43434343434343436</v>
      </c>
      <c r="D12" s="17">
        <f t="shared" si="0"/>
        <v>5.1911468812877261E-2</v>
      </c>
      <c r="E12" s="17">
        <f t="shared" si="1"/>
        <v>0.82293762575452711</v>
      </c>
    </row>
    <row r="13" spans="1:5">
      <c r="A13" s="6" t="s">
        <v>2079</v>
      </c>
      <c r="B13" s="7">
        <v>119</v>
      </c>
      <c r="C13" s="15">
        <f>B13/sectors_Analysis!$F$2</f>
        <v>0.40067340067340068</v>
      </c>
      <c r="D13" s="17">
        <f t="shared" si="0"/>
        <v>4.788732394366197E-2</v>
      </c>
      <c r="E13" s="17">
        <f t="shared" si="1"/>
        <v>0.87082494969818913</v>
      </c>
    </row>
    <row r="14" spans="1:5">
      <c r="A14" s="4" t="s">
        <v>2327</v>
      </c>
      <c r="B14" s="5">
        <v>118</v>
      </c>
      <c r="C14" s="13">
        <f>B14/sectors_Analysis!$F$2</f>
        <v>0.39730639730639733</v>
      </c>
      <c r="D14" s="17">
        <f t="shared" si="0"/>
        <v>4.7484909456740443E-2</v>
      </c>
      <c r="E14" s="17">
        <f t="shared" si="1"/>
        <v>0.91830985915492958</v>
      </c>
    </row>
    <row r="15" spans="1:5">
      <c r="A15" s="6" t="s">
        <v>2328</v>
      </c>
      <c r="B15" s="7">
        <v>105</v>
      </c>
      <c r="C15" s="15">
        <f>B15/sectors_Analysis!$F$2</f>
        <v>0.35353535353535354</v>
      </c>
      <c r="D15" s="17">
        <f t="shared" si="0"/>
        <v>4.2253521126760563E-2</v>
      </c>
      <c r="E15" s="17">
        <f t="shared" si="1"/>
        <v>0.96056338028169019</v>
      </c>
    </row>
    <row r="16" spans="1:5">
      <c r="A16" s="8" t="s">
        <v>2329</v>
      </c>
      <c r="B16" s="9">
        <v>98</v>
      </c>
      <c r="C16" s="10">
        <f>B16/sectors_Analysis!$F$2</f>
        <v>0.32996632996632996</v>
      </c>
      <c r="D16" s="17">
        <f t="shared" si="0"/>
        <v>3.9436619718309862E-2</v>
      </c>
      <c r="E16" s="17">
        <f t="shared" si="1"/>
        <v>1</v>
      </c>
    </row>
    <row r="17" spans="2:2" ht="15" customHeight="1">
      <c r="B17">
        <f>SUM(Table2[Services Count])</f>
        <v>2485</v>
      </c>
    </row>
    <row r="21" spans="2:2" ht="15.75" customHeight="1"/>
    <row r="22" spans="2:2" ht="15.75" customHeight="1"/>
    <row r="23" spans="2:2" ht="15.75" customHeight="1"/>
    <row r="24" spans="2:2" ht="15.75" customHeight="1"/>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dataValidations count="1">
    <dataValidation type="custom" allowBlank="1" showDropDown="1" sqref="C2:C16" xr:uid="{00000000-0002-0000-0200-000000000000}">
      <formula1>AND(ISNUMBER(C2),(NOT(OR(NOT(ISERROR(DATEVALUE(C2))), AND(ISNUMBER(C2), LEFT(CELL("format", C2))="D")))))</formula1>
    </dataValidation>
  </dataValidations>
  <pageMargins left="0.75" right="0.75" top="1" bottom="1"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U1" workbookViewId="0">
      <pane ySplit="1" topLeftCell="A2" activePane="bottomLeft" state="frozen"/>
      <selection pane="bottomLeft" activeCell="D1" sqref="D1:E1"/>
    </sheetView>
  </sheetViews>
  <sheetFormatPr defaultColWidth="14.42578125" defaultRowHeight="15" customHeight="1"/>
  <cols>
    <col min="1" max="1" width="43" customWidth="1"/>
    <col min="2" max="2" width="11.85546875" customWidth="1"/>
    <col min="3" max="3" width="20.7109375" customWidth="1"/>
    <col min="4" max="4" width="8.7109375" style="17" customWidth="1"/>
    <col min="5" max="5" width="15.85546875" style="17" customWidth="1"/>
    <col min="6" max="27" width="8.7109375" customWidth="1"/>
  </cols>
  <sheetData>
    <row r="1" spans="1:6" ht="45.75">
      <c r="A1" s="25" t="s">
        <v>2330</v>
      </c>
      <c r="B1" s="26" t="s">
        <v>2331</v>
      </c>
      <c r="C1" s="27" t="s">
        <v>2332</v>
      </c>
      <c r="D1" s="28" t="s">
        <v>2333</v>
      </c>
      <c r="E1" s="29" t="s">
        <v>2334</v>
      </c>
      <c r="F1" s="2" t="s">
        <v>2335</v>
      </c>
    </row>
    <row r="2" spans="1:6">
      <c r="A2" s="4" t="s">
        <v>277</v>
      </c>
      <c r="B2" s="5">
        <v>198</v>
      </c>
      <c r="C2" s="13">
        <f t="shared" ref="C2:C44" si="0">B2/$F$2</f>
        <v>0.66666666666666663</v>
      </c>
      <c r="D2" s="17">
        <f t="shared" ref="D2:D44" si="1">B2/$B$45</f>
        <v>7.1921540138031245E-2</v>
      </c>
      <c r="E2" s="21">
        <f>D2</f>
        <v>7.1921540138031245E-2</v>
      </c>
      <c r="F2" s="2">
        <v>297</v>
      </c>
    </row>
    <row r="3" spans="1:6">
      <c r="A3" s="6" t="s">
        <v>826</v>
      </c>
      <c r="B3" s="7">
        <v>155</v>
      </c>
      <c r="C3" s="15">
        <f t="shared" si="0"/>
        <v>0.52188552188552184</v>
      </c>
      <c r="D3" s="17">
        <f t="shared" si="1"/>
        <v>5.6302215764620411E-2</v>
      </c>
      <c r="E3" s="22">
        <f>E2+D3</f>
        <v>0.12822375590265167</v>
      </c>
    </row>
    <row r="4" spans="1:6">
      <c r="A4" s="4" t="s">
        <v>2336</v>
      </c>
      <c r="B4" s="5">
        <v>143</v>
      </c>
      <c r="C4" s="13">
        <f t="shared" si="0"/>
        <v>0.48148148148148145</v>
      </c>
      <c r="D4" s="17">
        <f t="shared" si="1"/>
        <v>5.1943334544133669E-2</v>
      </c>
      <c r="E4" s="21">
        <f t="shared" ref="E4:E44" si="2">E3+D4</f>
        <v>0.18016709044678533</v>
      </c>
    </row>
    <row r="5" spans="1:6">
      <c r="A5" s="6" t="s">
        <v>856</v>
      </c>
      <c r="B5" s="7">
        <v>137</v>
      </c>
      <c r="C5" s="15">
        <f t="shared" si="0"/>
        <v>0.46127946127946129</v>
      </c>
      <c r="D5" s="17">
        <f t="shared" si="1"/>
        <v>4.9763893933890302E-2</v>
      </c>
      <c r="E5" s="22">
        <f t="shared" si="2"/>
        <v>0.22993098438067563</v>
      </c>
    </row>
    <row r="6" spans="1:6">
      <c r="A6" s="4" t="s">
        <v>1882</v>
      </c>
      <c r="B6" s="5">
        <v>132</v>
      </c>
      <c r="C6" s="13">
        <f t="shared" si="0"/>
        <v>0.44444444444444442</v>
      </c>
      <c r="D6" s="17">
        <f t="shared" si="1"/>
        <v>4.7947693425354161E-2</v>
      </c>
      <c r="E6" s="21">
        <f t="shared" si="2"/>
        <v>0.27787867780602982</v>
      </c>
    </row>
    <row r="7" spans="1:6">
      <c r="A7" s="6" t="s">
        <v>650</v>
      </c>
      <c r="B7" s="7">
        <v>127</v>
      </c>
      <c r="C7" s="15">
        <f t="shared" si="0"/>
        <v>0.42760942760942761</v>
      </c>
      <c r="D7" s="17">
        <f t="shared" si="1"/>
        <v>4.6131492916818014E-2</v>
      </c>
      <c r="E7" s="22">
        <f t="shared" si="2"/>
        <v>0.32401017072284782</v>
      </c>
    </row>
    <row r="8" spans="1:6">
      <c r="A8" s="4" t="s">
        <v>2337</v>
      </c>
      <c r="B8" s="5">
        <v>120</v>
      </c>
      <c r="C8" s="13">
        <f t="shared" si="0"/>
        <v>0.40404040404040403</v>
      </c>
      <c r="D8" s="17">
        <f t="shared" si="1"/>
        <v>4.3588812204867419E-2</v>
      </c>
      <c r="E8" s="21">
        <f t="shared" si="2"/>
        <v>0.36759898292771526</v>
      </c>
    </row>
    <row r="9" spans="1:6">
      <c r="A9" s="6" t="s">
        <v>2338</v>
      </c>
      <c r="B9" s="7">
        <v>119</v>
      </c>
      <c r="C9" s="15">
        <f t="shared" si="0"/>
        <v>0.40067340067340068</v>
      </c>
      <c r="D9" s="17">
        <f t="shared" si="1"/>
        <v>4.3225572103160186E-2</v>
      </c>
      <c r="E9" s="22">
        <f t="shared" si="2"/>
        <v>0.41082455503087545</v>
      </c>
    </row>
    <row r="10" spans="1:6">
      <c r="A10" s="4" t="s">
        <v>2339</v>
      </c>
      <c r="B10" s="5">
        <v>114</v>
      </c>
      <c r="C10" s="13">
        <f t="shared" si="0"/>
        <v>0.38383838383838381</v>
      </c>
      <c r="D10" s="17">
        <f t="shared" si="1"/>
        <v>4.1409371594624045E-2</v>
      </c>
      <c r="E10" s="21">
        <f t="shared" si="2"/>
        <v>0.45223392662549949</v>
      </c>
    </row>
    <row r="11" spans="1:6">
      <c r="A11" s="6" t="s">
        <v>1103</v>
      </c>
      <c r="B11" s="7">
        <v>98</v>
      </c>
      <c r="C11" s="15">
        <f t="shared" si="0"/>
        <v>0.32996632996632996</v>
      </c>
      <c r="D11" s="17">
        <f t="shared" si="1"/>
        <v>3.5597529967308389E-2</v>
      </c>
      <c r="E11" s="22">
        <f t="shared" si="2"/>
        <v>0.48783145659280791</v>
      </c>
    </row>
    <row r="12" spans="1:6">
      <c r="A12" s="4" t="s">
        <v>453</v>
      </c>
      <c r="B12" s="5">
        <v>89</v>
      </c>
      <c r="C12" s="13">
        <f t="shared" si="0"/>
        <v>0.29966329966329969</v>
      </c>
      <c r="D12" s="17">
        <f t="shared" si="1"/>
        <v>3.2328369051943334E-2</v>
      </c>
      <c r="E12" s="21">
        <f t="shared" si="2"/>
        <v>0.52015982564475127</v>
      </c>
    </row>
    <row r="13" spans="1:6">
      <c r="A13" s="6" t="s">
        <v>2340</v>
      </c>
      <c r="B13" s="7">
        <v>86</v>
      </c>
      <c r="C13" s="15">
        <f t="shared" si="0"/>
        <v>0.28956228956228958</v>
      </c>
      <c r="D13" s="17">
        <f t="shared" si="1"/>
        <v>3.123864874682165E-2</v>
      </c>
      <c r="E13" s="22">
        <f t="shared" si="2"/>
        <v>0.55139847439157297</v>
      </c>
    </row>
    <row r="14" spans="1:6">
      <c r="A14" s="4" t="s">
        <v>2341</v>
      </c>
      <c r="B14" s="5">
        <v>76</v>
      </c>
      <c r="C14" s="13">
        <f t="shared" si="0"/>
        <v>0.25589225589225589</v>
      </c>
      <c r="D14" s="17">
        <f t="shared" si="1"/>
        <v>2.7606247729749366E-2</v>
      </c>
      <c r="E14" s="21">
        <f t="shared" si="2"/>
        <v>0.57900472212132237</v>
      </c>
    </row>
    <row r="15" spans="1:6">
      <c r="A15" s="6" t="s">
        <v>2342</v>
      </c>
      <c r="B15" s="7">
        <v>73</v>
      </c>
      <c r="C15" s="15">
        <f t="shared" si="0"/>
        <v>0.24579124579124578</v>
      </c>
      <c r="D15" s="17">
        <f t="shared" si="1"/>
        <v>2.6516527424627678E-2</v>
      </c>
      <c r="E15" s="22">
        <f t="shared" si="2"/>
        <v>0.6055212495459501</v>
      </c>
    </row>
    <row r="16" spans="1:6">
      <c r="A16" s="4" t="s">
        <v>2343</v>
      </c>
      <c r="B16" s="5">
        <v>65</v>
      </c>
      <c r="C16" s="13">
        <f t="shared" si="0"/>
        <v>0.21885521885521886</v>
      </c>
      <c r="D16" s="17">
        <f t="shared" si="1"/>
        <v>2.361060661096985E-2</v>
      </c>
      <c r="E16" s="21">
        <f t="shared" si="2"/>
        <v>0.62913185615691991</v>
      </c>
    </row>
    <row r="17" spans="1:5">
      <c r="A17" s="6" t="s">
        <v>2344</v>
      </c>
      <c r="B17" s="7">
        <v>65</v>
      </c>
      <c r="C17" s="15">
        <f t="shared" si="0"/>
        <v>0.21885521885521886</v>
      </c>
      <c r="D17" s="17">
        <f t="shared" si="1"/>
        <v>2.361060661096985E-2</v>
      </c>
      <c r="E17" s="22">
        <f t="shared" si="2"/>
        <v>0.65274246276788972</v>
      </c>
    </row>
    <row r="18" spans="1:5">
      <c r="A18" s="4" t="s">
        <v>2345</v>
      </c>
      <c r="B18" s="5">
        <v>62</v>
      </c>
      <c r="C18" s="13">
        <f t="shared" si="0"/>
        <v>0.20875420875420875</v>
      </c>
      <c r="D18" s="17">
        <f t="shared" si="1"/>
        <v>2.2520886305848167E-2</v>
      </c>
      <c r="E18" s="21">
        <f t="shared" si="2"/>
        <v>0.67526334907373786</v>
      </c>
    </row>
    <row r="19" spans="1:5">
      <c r="A19" s="6" t="s">
        <v>2346</v>
      </c>
      <c r="B19" s="7">
        <v>62</v>
      </c>
      <c r="C19" s="15">
        <f t="shared" si="0"/>
        <v>0.20875420875420875</v>
      </c>
      <c r="D19" s="17">
        <f t="shared" si="1"/>
        <v>2.2520886305848167E-2</v>
      </c>
      <c r="E19" s="22">
        <f t="shared" si="2"/>
        <v>0.697784235379586</v>
      </c>
    </row>
    <row r="20" spans="1:5">
      <c r="A20" s="4" t="s">
        <v>2347</v>
      </c>
      <c r="B20" s="5">
        <v>55</v>
      </c>
      <c r="C20" s="13">
        <f t="shared" si="0"/>
        <v>0.18518518518518517</v>
      </c>
      <c r="D20" s="17">
        <f t="shared" si="1"/>
        <v>1.9978205593897565E-2</v>
      </c>
      <c r="E20" s="21">
        <f t="shared" si="2"/>
        <v>0.71776244097348352</v>
      </c>
    </row>
    <row r="21" spans="1:5" ht="15.75" customHeight="1">
      <c r="A21" s="6" t="s">
        <v>2348</v>
      </c>
      <c r="B21" s="7">
        <v>54</v>
      </c>
      <c r="C21" s="15">
        <f t="shared" si="0"/>
        <v>0.18181818181818182</v>
      </c>
      <c r="D21" s="17">
        <f t="shared" si="1"/>
        <v>1.9614965492190339E-2</v>
      </c>
      <c r="E21" s="22">
        <f t="shared" si="2"/>
        <v>0.73737740646567385</v>
      </c>
    </row>
    <row r="22" spans="1:5" ht="15.75" customHeight="1">
      <c r="A22" s="4" t="s">
        <v>2349</v>
      </c>
      <c r="B22" s="5">
        <v>54</v>
      </c>
      <c r="C22" s="13">
        <f t="shared" si="0"/>
        <v>0.18181818181818182</v>
      </c>
      <c r="D22" s="17">
        <f t="shared" si="1"/>
        <v>1.9614965492190339E-2</v>
      </c>
      <c r="E22" s="21">
        <f t="shared" si="2"/>
        <v>0.75699237195786417</v>
      </c>
    </row>
    <row r="23" spans="1:5" ht="15.75" customHeight="1">
      <c r="A23" s="6" t="s">
        <v>2350</v>
      </c>
      <c r="B23" s="7">
        <v>54</v>
      </c>
      <c r="C23" s="15">
        <f t="shared" si="0"/>
        <v>0.18181818181818182</v>
      </c>
      <c r="D23" s="17">
        <f t="shared" si="1"/>
        <v>1.9614965492190339E-2</v>
      </c>
      <c r="E23" s="22">
        <f t="shared" si="2"/>
        <v>0.7766073374500545</v>
      </c>
    </row>
    <row r="24" spans="1:5" ht="15.75" customHeight="1">
      <c r="A24" s="4" t="s">
        <v>2351</v>
      </c>
      <c r="B24" s="5">
        <v>50</v>
      </c>
      <c r="C24" s="13">
        <f t="shared" si="0"/>
        <v>0.16835016835016836</v>
      </c>
      <c r="D24" s="17">
        <f t="shared" si="1"/>
        <v>1.8162005085361425E-2</v>
      </c>
      <c r="E24" s="21">
        <f t="shared" si="2"/>
        <v>0.79476934253541598</v>
      </c>
    </row>
    <row r="25" spans="1:5" ht="15.75" customHeight="1">
      <c r="A25" s="6" t="s">
        <v>2352</v>
      </c>
      <c r="B25" s="7">
        <v>49</v>
      </c>
      <c r="C25" s="15">
        <f t="shared" si="0"/>
        <v>0.16498316498316498</v>
      </c>
      <c r="D25" s="17">
        <f t="shared" si="1"/>
        <v>1.7798764983654194E-2</v>
      </c>
      <c r="E25" s="22">
        <f t="shared" si="2"/>
        <v>0.81256810751907016</v>
      </c>
    </row>
    <row r="26" spans="1:5" ht="15.75" customHeight="1">
      <c r="A26" s="4" t="s">
        <v>2353</v>
      </c>
      <c r="B26" s="5">
        <v>47</v>
      </c>
      <c r="C26" s="13">
        <f t="shared" si="0"/>
        <v>0.15824915824915825</v>
      </c>
      <c r="D26" s="17">
        <f t="shared" si="1"/>
        <v>1.7072284780239737E-2</v>
      </c>
      <c r="E26" s="21">
        <f t="shared" si="2"/>
        <v>0.82964039229930986</v>
      </c>
    </row>
    <row r="27" spans="1:5" ht="15.75" customHeight="1">
      <c r="A27" s="6" t="s">
        <v>2354</v>
      </c>
      <c r="B27" s="7">
        <v>45</v>
      </c>
      <c r="C27" s="15">
        <f t="shared" si="0"/>
        <v>0.15151515151515152</v>
      </c>
      <c r="D27" s="17">
        <f t="shared" si="1"/>
        <v>1.634580457682528E-2</v>
      </c>
      <c r="E27" s="22">
        <f t="shared" si="2"/>
        <v>0.84598619687613519</v>
      </c>
    </row>
    <row r="28" spans="1:5" ht="15.75" customHeight="1">
      <c r="A28" s="4" t="s">
        <v>2355</v>
      </c>
      <c r="B28" s="5">
        <v>43</v>
      </c>
      <c r="C28" s="13">
        <f t="shared" si="0"/>
        <v>0.14478114478114479</v>
      </c>
      <c r="D28" s="17">
        <f t="shared" si="1"/>
        <v>1.5619324373410825E-2</v>
      </c>
      <c r="E28" s="21">
        <f t="shared" si="2"/>
        <v>0.86160552124954604</v>
      </c>
    </row>
    <row r="29" spans="1:5" ht="15.75" customHeight="1">
      <c r="A29" s="6" t="s">
        <v>2356</v>
      </c>
      <c r="B29" s="7">
        <v>42</v>
      </c>
      <c r="C29" s="15">
        <f t="shared" si="0"/>
        <v>0.14141414141414141</v>
      </c>
      <c r="D29" s="17">
        <f t="shared" si="1"/>
        <v>1.5256084271703597E-2</v>
      </c>
      <c r="E29" s="22">
        <f t="shared" si="2"/>
        <v>0.87686160552124959</v>
      </c>
    </row>
    <row r="30" spans="1:5" ht="15.75" customHeight="1">
      <c r="A30" s="4" t="s">
        <v>2357</v>
      </c>
      <c r="B30" s="5">
        <v>42</v>
      </c>
      <c r="C30" s="13">
        <f t="shared" si="0"/>
        <v>0.14141414141414141</v>
      </c>
      <c r="D30" s="17">
        <f t="shared" si="1"/>
        <v>1.5256084271703597E-2</v>
      </c>
      <c r="E30" s="21">
        <f t="shared" si="2"/>
        <v>0.89211768979295314</v>
      </c>
    </row>
    <row r="31" spans="1:5" ht="15.75" customHeight="1">
      <c r="A31" s="6" t="s">
        <v>2078</v>
      </c>
      <c r="B31" s="7">
        <v>41</v>
      </c>
      <c r="C31" s="15">
        <f t="shared" si="0"/>
        <v>0.13804713804713806</v>
      </c>
      <c r="D31" s="17">
        <f t="shared" si="1"/>
        <v>1.4892844169996368E-2</v>
      </c>
      <c r="E31" s="22">
        <f t="shared" si="2"/>
        <v>0.90701053396294951</v>
      </c>
    </row>
    <row r="32" spans="1:5" ht="15.75" customHeight="1">
      <c r="A32" s="4" t="s">
        <v>2358</v>
      </c>
      <c r="B32" s="5">
        <v>39</v>
      </c>
      <c r="C32" s="13">
        <f t="shared" si="0"/>
        <v>0.13131313131313133</v>
      </c>
      <c r="D32" s="17">
        <f t="shared" si="1"/>
        <v>1.4166363966581911E-2</v>
      </c>
      <c r="E32" s="21">
        <f t="shared" si="2"/>
        <v>0.92117689792953139</v>
      </c>
    </row>
    <row r="33" spans="1:5" ht="15.75" customHeight="1">
      <c r="A33" s="6" t="s">
        <v>2359</v>
      </c>
      <c r="B33" s="7">
        <v>32</v>
      </c>
      <c r="C33" s="15">
        <f t="shared" si="0"/>
        <v>0.10774410774410774</v>
      </c>
      <c r="D33" s="17">
        <f t="shared" si="1"/>
        <v>1.1623683254631312E-2</v>
      </c>
      <c r="E33" s="22">
        <f t="shared" si="2"/>
        <v>0.93280058118416265</v>
      </c>
    </row>
    <row r="34" spans="1:5" ht="15.75" customHeight="1">
      <c r="A34" s="4" t="s">
        <v>2360</v>
      </c>
      <c r="B34" s="5">
        <v>29</v>
      </c>
      <c r="C34" s="13">
        <f t="shared" si="0"/>
        <v>9.7643097643097643E-2</v>
      </c>
      <c r="D34" s="17">
        <f t="shared" si="1"/>
        <v>1.0533962949509626E-2</v>
      </c>
      <c r="E34" s="21">
        <f t="shared" si="2"/>
        <v>0.94333454413367224</v>
      </c>
    </row>
    <row r="35" spans="1:5" ht="15.75" customHeight="1">
      <c r="A35" s="6" t="s">
        <v>2361</v>
      </c>
      <c r="B35" s="7">
        <v>28</v>
      </c>
      <c r="C35" s="15">
        <f t="shared" si="0"/>
        <v>9.4276094276094277E-2</v>
      </c>
      <c r="D35" s="17">
        <f t="shared" si="1"/>
        <v>1.0170722847802398E-2</v>
      </c>
      <c r="E35" s="22">
        <f t="shared" si="2"/>
        <v>0.95350526698147464</v>
      </c>
    </row>
    <row r="36" spans="1:5" ht="15.75" customHeight="1">
      <c r="A36" s="4" t="s">
        <v>2362</v>
      </c>
      <c r="B36" s="5">
        <v>26</v>
      </c>
      <c r="C36" s="13">
        <f t="shared" si="0"/>
        <v>8.7542087542087546E-2</v>
      </c>
      <c r="D36" s="17">
        <f t="shared" si="1"/>
        <v>9.4442426443879408E-3</v>
      </c>
      <c r="E36" s="21">
        <f t="shared" si="2"/>
        <v>0.96294950962586257</v>
      </c>
    </row>
    <row r="37" spans="1:5" ht="15.75" customHeight="1">
      <c r="A37" s="6" t="s">
        <v>2363</v>
      </c>
      <c r="B37" s="7">
        <v>21</v>
      </c>
      <c r="C37" s="15">
        <f t="shared" si="0"/>
        <v>7.0707070707070704E-2</v>
      </c>
      <c r="D37" s="17">
        <f t="shared" si="1"/>
        <v>7.6280421358517984E-3</v>
      </c>
      <c r="E37" s="22">
        <f t="shared" si="2"/>
        <v>0.97057755176171434</v>
      </c>
    </row>
    <row r="38" spans="1:5" ht="15.75" customHeight="1">
      <c r="A38" s="4" t="s">
        <v>2364</v>
      </c>
      <c r="B38" s="5">
        <v>16</v>
      </c>
      <c r="C38" s="13">
        <f t="shared" si="0"/>
        <v>5.387205387205387E-2</v>
      </c>
      <c r="D38" s="17">
        <f t="shared" si="1"/>
        <v>5.8118416273156559E-3</v>
      </c>
      <c r="E38" s="21">
        <f t="shared" si="2"/>
        <v>0.97638939338902997</v>
      </c>
    </row>
    <row r="39" spans="1:5" ht="15.75" customHeight="1">
      <c r="A39" s="6" t="s">
        <v>2365</v>
      </c>
      <c r="B39" s="7">
        <v>15</v>
      </c>
      <c r="C39" s="15">
        <f t="shared" si="0"/>
        <v>5.0505050505050504E-2</v>
      </c>
      <c r="D39" s="17">
        <f t="shared" si="1"/>
        <v>5.4486015256084274E-3</v>
      </c>
      <c r="E39" s="22">
        <f t="shared" si="2"/>
        <v>0.98183799491463841</v>
      </c>
    </row>
    <row r="40" spans="1:5" ht="15.75" customHeight="1">
      <c r="A40" s="4" t="s">
        <v>2366</v>
      </c>
      <c r="B40" s="5">
        <v>15</v>
      </c>
      <c r="C40" s="13">
        <f t="shared" si="0"/>
        <v>5.0505050505050504E-2</v>
      </c>
      <c r="D40" s="17">
        <f t="shared" si="1"/>
        <v>5.4486015256084274E-3</v>
      </c>
      <c r="E40" s="21">
        <f t="shared" si="2"/>
        <v>0.98728659644024686</v>
      </c>
    </row>
    <row r="41" spans="1:5" ht="15.75" customHeight="1">
      <c r="A41" s="6" t="s">
        <v>2367</v>
      </c>
      <c r="B41" s="7">
        <v>12</v>
      </c>
      <c r="C41" s="15">
        <f t="shared" si="0"/>
        <v>4.0404040404040407E-2</v>
      </c>
      <c r="D41" s="17">
        <f t="shared" si="1"/>
        <v>4.3588812204867419E-3</v>
      </c>
      <c r="E41" s="22">
        <f t="shared" si="2"/>
        <v>0.99164547766073363</v>
      </c>
    </row>
    <row r="42" spans="1:5" ht="15.75" customHeight="1">
      <c r="A42" s="4" t="s">
        <v>2368</v>
      </c>
      <c r="B42" s="5">
        <v>11</v>
      </c>
      <c r="C42" s="13">
        <f t="shared" si="0"/>
        <v>3.7037037037037035E-2</v>
      </c>
      <c r="D42" s="17">
        <f t="shared" si="1"/>
        <v>3.9956411187795134E-3</v>
      </c>
      <c r="E42" s="21">
        <f t="shared" si="2"/>
        <v>0.99564111877951311</v>
      </c>
    </row>
    <row r="43" spans="1:5" ht="15.75" customHeight="1">
      <c r="A43" s="6" t="s">
        <v>2369</v>
      </c>
      <c r="B43" s="7">
        <v>8</v>
      </c>
      <c r="C43" s="15">
        <f t="shared" si="0"/>
        <v>2.6936026936026935E-2</v>
      </c>
      <c r="D43" s="17">
        <f t="shared" si="1"/>
        <v>2.905920813657828E-3</v>
      </c>
      <c r="E43" s="22">
        <f t="shared" si="2"/>
        <v>0.99854703959317093</v>
      </c>
    </row>
    <row r="44" spans="1:5" ht="15.75" customHeight="1">
      <c r="A44" s="8" t="s">
        <v>2370</v>
      </c>
      <c r="B44" s="9">
        <v>4</v>
      </c>
      <c r="C44" s="10">
        <f t="shared" si="0"/>
        <v>1.3468013468013467E-2</v>
      </c>
      <c r="D44" s="17">
        <f t="shared" si="1"/>
        <v>1.452960406828914E-3</v>
      </c>
      <c r="E44" s="21">
        <f t="shared" si="2"/>
        <v>0.99999999999999989</v>
      </c>
    </row>
    <row r="45" spans="1:5" ht="15.75" customHeight="1">
      <c r="B45" s="2">
        <f>SUM(B2:B44)</f>
        <v>2753</v>
      </c>
    </row>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custom" allowBlank="1" showDropDown="1" sqref="C2:C44" xr:uid="{00000000-0002-0000-0100-000000000000}">
      <formula1>AND(ISNUMBER(C2),(NOT(OR(NOT(ISERROR(DATEVALUE(C2))), AND(ISNUMBER(C2), LEFT(CELL("format", C2))="D")))))</formula1>
    </dataValidation>
  </dataValidations>
  <pageMargins left="0.75" right="0.75" top="1" bottom="1" header="0" footer="0"/>
  <pageSetup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tabSelected="1" topLeftCell="D1" workbookViewId="0">
      <pane ySplit="1" topLeftCell="C2" activePane="bottomLeft" state="frozen"/>
      <selection pane="bottomLeft" activeCell="D1" sqref="D1:E1"/>
    </sheetView>
  </sheetViews>
  <sheetFormatPr defaultColWidth="14.42578125" defaultRowHeight="15" customHeight="1"/>
  <cols>
    <col min="1" max="1" width="43" customWidth="1"/>
    <col min="2" max="2" width="11.85546875" customWidth="1"/>
    <col min="3" max="3" width="20.7109375" customWidth="1"/>
    <col min="4" max="4" width="19" customWidth="1"/>
    <col min="5" max="26" width="8.7109375" customWidth="1"/>
  </cols>
  <sheetData>
    <row r="1" spans="1:5" ht="60.75">
      <c r="A1" s="3" t="s">
        <v>2371</v>
      </c>
      <c r="B1" s="16" t="s">
        <v>2372</v>
      </c>
      <c r="C1" s="16" t="s">
        <v>2373</v>
      </c>
      <c r="D1" s="28" t="s">
        <v>2333</v>
      </c>
      <c r="E1" s="29" t="s">
        <v>2334</v>
      </c>
    </row>
    <row r="2" spans="1:5">
      <c r="A2" s="4" t="s">
        <v>586</v>
      </c>
      <c r="B2" s="5">
        <v>265</v>
      </c>
      <c r="C2" s="12">
        <f>B2/sectors_Analysis!$F$2</f>
        <v>0.8922558922558923</v>
      </c>
      <c r="D2" s="13">
        <f>B2/$B$38</f>
        <v>8.4529505582137163E-2</v>
      </c>
      <c r="E2" s="17">
        <f>D2</f>
        <v>8.4529505582137163E-2</v>
      </c>
    </row>
    <row r="3" spans="1:5">
      <c r="A3" s="6" t="s">
        <v>798</v>
      </c>
      <c r="B3" s="7">
        <v>206</v>
      </c>
      <c r="C3" s="14">
        <f>B3/sectors_Analysis!$F$2</f>
        <v>0.69360269360269355</v>
      </c>
      <c r="D3" s="13">
        <f t="shared" ref="D3:D37" si="0">B3/$B$38</f>
        <v>6.5709728867623607E-2</v>
      </c>
      <c r="E3" s="17">
        <f>E2+D3</f>
        <v>0.15023923444976078</v>
      </c>
    </row>
    <row r="4" spans="1:5">
      <c r="A4" s="4" t="s">
        <v>668</v>
      </c>
      <c r="B4" s="5">
        <v>201</v>
      </c>
      <c r="C4" s="12">
        <f>B4/sectors_Analysis!$F$2</f>
        <v>0.6767676767676768</v>
      </c>
      <c r="D4" s="13">
        <f t="shared" si="0"/>
        <v>6.4114832535885166E-2</v>
      </c>
      <c r="E4" s="17">
        <f t="shared" ref="E4:E37" si="1">E3+D4</f>
        <v>0.21435406698564596</v>
      </c>
    </row>
    <row r="5" spans="1:5">
      <c r="A5" s="6" t="s">
        <v>2374</v>
      </c>
      <c r="B5" s="7">
        <v>172</v>
      </c>
      <c r="C5" s="14">
        <f>B5/sectors_Analysis!$F$2</f>
        <v>0.57912457912457915</v>
      </c>
      <c r="D5" s="13">
        <f t="shared" si="0"/>
        <v>5.4864433811802234E-2</v>
      </c>
      <c r="E5" s="17">
        <f t="shared" si="1"/>
        <v>0.26921850079744819</v>
      </c>
    </row>
    <row r="6" spans="1:5">
      <c r="A6" s="4" t="s">
        <v>2375</v>
      </c>
      <c r="B6" s="5">
        <v>166</v>
      </c>
      <c r="C6" s="12">
        <f>B6/sectors_Analysis!$F$2</f>
        <v>0.55892255892255893</v>
      </c>
      <c r="D6" s="13">
        <f t="shared" si="0"/>
        <v>5.2950558213716109E-2</v>
      </c>
      <c r="E6" s="17">
        <f t="shared" si="1"/>
        <v>0.32216905901116433</v>
      </c>
    </row>
    <row r="7" spans="1:5">
      <c r="A7" s="6" t="s">
        <v>2376</v>
      </c>
      <c r="B7" s="7">
        <v>158</v>
      </c>
      <c r="C7" s="14">
        <f>B7/sectors_Analysis!$F$2</f>
        <v>0.53198653198653201</v>
      </c>
      <c r="D7" s="13">
        <f t="shared" si="0"/>
        <v>5.0398724082934609E-2</v>
      </c>
      <c r="E7" s="17">
        <f t="shared" si="1"/>
        <v>0.37256778309409894</v>
      </c>
    </row>
    <row r="8" spans="1:5">
      <c r="A8" s="4" t="s">
        <v>2377</v>
      </c>
      <c r="B8" s="5">
        <v>146</v>
      </c>
      <c r="C8" s="12">
        <f>B8/sectors_Analysis!$F$2</f>
        <v>0.49158249158249157</v>
      </c>
      <c r="D8" s="13">
        <f t="shared" si="0"/>
        <v>4.657097288676236E-2</v>
      </c>
      <c r="E8" s="17">
        <f t="shared" si="1"/>
        <v>0.41913875598086131</v>
      </c>
    </row>
    <row r="9" spans="1:5">
      <c r="A9" s="6" t="s">
        <v>2378</v>
      </c>
      <c r="B9" s="7">
        <v>145</v>
      </c>
      <c r="C9" s="14">
        <f>B9/sectors_Analysis!$F$2</f>
        <v>0.48821548821548821</v>
      </c>
      <c r="D9" s="13">
        <f t="shared" si="0"/>
        <v>4.6251993620414676E-2</v>
      </c>
      <c r="E9" s="17">
        <f t="shared" si="1"/>
        <v>0.46539074960127597</v>
      </c>
    </row>
    <row r="10" spans="1:5">
      <c r="A10" s="4" t="s">
        <v>2379</v>
      </c>
      <c r="B10" s="5">
        <v>132</v>
      </c>
      <c r="C10" s="12">
        <f>B10/sectors_Analysis!$F$2</f>
        <v>0.44444444444444442</v>
      </c>
      <c r="D10" s="13">
        <f t="shared" si="0"/>
        <v>4.2105263157894736E-2</v>
      </c>
      <c r="E10" s="17">
        <f t="shared" si="1"/>
        <v>0.50749601275917067</v>
      </c>
    </row>
    <row r="11" spans="1:5">
      <c r="A11" s="6" t="s">
        <v>2380</v>
      </c>
      <c r="B11" s="7">
        <v>120</v>
      </c>
      <c r="C11" s="14">
        <f>B11/sectors_Analysis!$F$2</f>
        <v>0.40404040404040403</v>
      </c>
      <c r="D11" s="13">
        <f t="shared" si="0"/>
        <v>3.8277511961722487E-2</v>
      </c>
      <c r="E11" s="17">
        <f t="shared" si="1"/>
        <v>0.54577352472089313</v>
      </c>
    </row>
    <row r="12" spans="1:5">
      <c r="A12" s="4" t="s">
        <v>294</v>
      </c>
      <c r="B12" s="5">
        <v>110</v>
      </c>
      <c r="C12" s="12">
        <f>B12/sectors_Analysis!$F$2</f>
        <v>0.37037037037037035</v>
      </c>
      <c r="D12" s="13">
        <f t="shared" si="0"/>
        <v>3.5087719298245612E-2</v>
      </c>
      <c r="E12" s="17">
        <f t="shared" si="1"/>
        <v>0.58086124401913874</v>
      </c>
    </row>
    <row r="13" spans="1:5">
      <c r="A13" s="6" t="s">
        <v>2381</v>
      </c>
      <c r="B13" s="7">
        <v>103</v>
      </c>
      <c r="C13" s="14">
        <f>B13/sectors_Analysis!$F$2</f>
        <v>0.34680134680134678</v>
      </c>
      <c r="D13" s="13">
        <f t="shared" si="0"/>
        <v>3.2854864433811803E-2</v>
      </c>
      <c r="E13" s="17">
        <f t="shared" si="1"/>
        <v>0.61371610845295055</v>
      </c>
    </row>
    <row r="14" spans="1:5">
      <c r="A14" s="4" t="s">
        <v>2382</v>
      </c>
      <c r="B14" s="5">
        <v>100</v>
      </c>
      <c r="C14" s="12">
        <f>B14/sectors_Analysis!$F$2</f>
        <v>0.33670033670033672</v>
      </c>
      <c r="D14" s="13">
        <f t="shared" si="0"/>
        <v>3.1897926634768738E-2</v>
      </c>
      <c r="E14" s="17">
        <f t="shared" si="1"/>
        <v>0.64561403508771931</v>
      </c>
    </row>
    <row r="15" spans="1:5">
      <c r="A15" s="6" t="s">
        <v>2383</v>
      </c>
      <c r="B15" s="7">
        <v>91</v>
      </c>
      <c r="C15" s="14">
        <f>B15/sectors_Analysis!$F$2</f>
        <v>0.30639730639730639</v>
      </c>
      <c r="D15" s="13">
        <f t="shared" si="0"/>
        <v>2.9027113237639554E-2</v>
      </c>
      <c r="E15" s="17">
        <f t="shared" si="1"/>
        <v>0.67464114832535882</v>
      </c>
    </row>
    <row r="16" spans="1:5">
      <c r="A16" s="4" t="s">
        <v>644</v>
      </c>
      <c r="B16" s="5">
        <v>90</v>
      </c>
      <c r="C16" s="12">
        <f>B16/sectors_Analysis!$F$2</f>
        <v>0.30303030303030304</v>
      </c>
      <c r="D16" s="13">
        <f t="shared" si="0"/>
        <v>2.8708133971291867E-2</v>
      </c>
      <c r="E16" s="17">
        <f t="shared" si="1"/>
        <v>0.70334928229665072</v>
      </c>
    </row>
    <row r="17" spans="1:5">
      <c r="A17" s="6" t="s">
        <v>2384</v>
      </c>
      <c r="B17" s="7">
        <v>88</v>
      </c>
      <c r="C17" s="14">
        <f>B17/sectors_Analysis!$F$2</f>
        <v>0.29629629629629628</v>
      </c>
      <c r="D17" s="13">
        <f t="shared" si="0"/>
        <v>2.8070175438596492E-2</v>
      </c>
      <c r="E17" s="17">
        <f t="shared" si="1"/>
        <v>0.73141945773524719</v>
      </c>
    </row>
    <row r="18" spans="1:5">
      <c r="A18" s="4" t="s">
        <v>2385</v>
      </c>
      <c r="B18" s="5">
        <v>83</v>
      </c>
      <c r="C18" s="12">
        <f>B18/sectors_Analysis!$F$2</f>
        <v>0.27946127946127947</v>
      </c>
      <c r="D18" s="13">
        <f t="shared" si="0"/>
        <v>2.6475279106858055E-2</v>
      </c>
      <c r="E18" s="17">
        <f t="shared" si="1"/>
        <v>0.75789473684210529</v>
      </c>
    </row>
    <row r="19" spans="1:5">
      <c r="A19" s="6" t="s">
        <v>2386</v>
      </c>
      <c r="B19" s="7">
        <v>78</v>
      </c>
      <c r="C19" s="14">
        <f>B19/sectors_Analysis!$F$2</f>
        <v>0.26262626262626265</v>
      </c>
      <c r="D19" s="13">
        <f t="shared" si="0"/>
        <v>2.4880382775119617E-2</v>
      </c>
      <c r="E19" s="17">
        <f t="shared" si="1"/>
        <v>0.7827751196172249</v>
      </c>
    </row>
    <row r="20" spans="1:5">
      <c r="A20" s="4" t="s">
        <v>2387</v>
      </c>
      <c r="B20" s="5">
        <v>77</v>
      </c>
      <c r="C20" s="12">
        <f>B20/sectors_Analysis!$F$2</f>
        <v>0.25925925925925924</v>
      </c>
      <c r="D20" s="13">
        <f t="shared" si="0"/>
        <v>2.456140350877193E-2</v>
      </c>
      <c r="E20" s="17">
        <f t="shared" si="1"/>
        <v>0.8073365231259968</v>
      </c>
    </row>
    <row r="21" spans="1:5" ht="15.75" customHeight="1">
      <c r="A21" s="6" t="s">
        <v>2388</v>
      </c>
      <c r="B21" s="7">
        <v>66</v>
      </c>
      <c r="C21" s="14">
        <f>B21/sectors_Analysis!$F$2</f>
        <v>0.22222222222222221</v>
      </c>
      <c r="D21" s="13">
        <f t="shared" si="0"/>
        <v>2.1052631578947368E-2</v>
      </c>
      <c r="E21" s="17">
        <f t="shared" si="1"/>
        <v>0.82838915470494412</v>
      </c>
    </row>
    <row r="22" spans="1:5" ht="15.75" customHeight="1">
      <c r="A22" s="4" t="s">
        <v>2389</v>
      </c>
      <c r="B22" s="5">
        <v>57</v>
      </c>
      <c r="C22" s="12">
        <f>B22/sectors_Analysis!$F$2</f>
        <v>0.19191919191919191</v>
      </c>
      <c r="D22" s="13">
        <f t="shared" si="0"/>
        <v>1.8181818181818181E-2</v>
      </c>
      <c r="E22" s="17">
        <f t="shared" si="1"/>
        <v>0.84657097288676231</v>
      </c>
    </row>
    <row r="23" spans="1:5" ht="15.75" customHeight="1">
      <c r="A23" s="6" t="s">
        <v>2390</v>
      </c>
      <c r="B23" s="7">
        <v>54</v>
      </c>
      <c r="C23" s="14">
        <f>B23/sectors_Analysis!$F$2</f>
        <v>0.18181818181818182</v>
      </c>
      <c r="D23" s="13">
        <f t="shared" si="0"/>
        <v>1.7224880382775119E-2</v>
      </c>
      <c r="E23" s="17">
        <f t="shared" si="1"/>
        <v>0.86379585326953745</v>
      </c>
    </row>
    <row r="24" spans="1:5" ht="15.75" customHeight="1">
      <c r="A24" s="4" t="s">
        <v>2391</v>
      </c>
      <c r="B24" s="5">
        <v>52</v>
      </c>
      <c r="C24" s="12">
        <f>B24/sectors_Analysis!$F$2</f>
        <v>0.17508417508417509</v>
      </c>
      <c r="D24" s="13">
        <f t="shared" si="0"/>
        <v>1.6586921850079744E-2</v>
      </c>
      <c r="E24" s="17">
        <f t="shared" si="1"/>
        <v>0.88038277511961716</v>
      </c>
    </row>
    <row r="25" spans="1:5" ht="15.75" customHeight="1">
      <c r="A25" s="6" t="s">
        <v>2392</v>
      </c>
      <c r="B25" s="7">
        <v>45</v>
      </c>
      <c r="C25" s="14">
        <f>B25/sectors_Analysis!$F$2</f>
        <v>0.15151515151515152</v>
      </c>
      <c r="D25" s="13">
        <f t="shared" si="0"/>
        <v>1.4354066985645933E-2</v>
      </c>
      <c r="E25" s="17">
        <f t="shared" si="1"/>
        <v>0.89473684210526305</v>
      </c>
    </row>
    <row r="26" spans="1:5" ht="15.75" customHeight="1">
      <c r="A26" s="4" t="s">
        <v>2393</v>
      </c>
      <c r="B26" s="5">
        <v>41</v>
      </c>
      <c r="C26" s="12">
        <f>B26/sectors_Analysis!$F$2</f>
        <v>0.13804713804713806</v>
      </c>
      <c r="D26" s="13">
        <f t="shared" si="0"/>
        <v>1.3078149920255184E-2</v>
      </c>
      <c r="E26" s="17">
        <f t="shared" si="1"/>
        <v>0.90781499202551819</v>
      </c>
    </row>
    <row r="27" spans="1:5" ht="15.75" customHeight="1">
      <c r="A27" s="6" t="s">
        <v>2394</v>
      </c>
      <c r="B27" s="7">
        <v>41</v>
      </c>
      <c r="C27" s="14">
        <f>B27/sectors_Analysis!$F$2</f>
        <v>0.13804713804713806</v>
      </c>
      <c r="D27" s="13">
        <f t="shared" si="0"/>
        <v>1.3078149920255184E-2</v>
      </c>
      <c r="E27" s="17">
        <f t="shared" si="1"/>
        <v>0.92089314194577332</v>
      </c>
    </row>
    <row r="28" spans="1:5" ht="15.75" customHeight="1">
      <c r="A28" s="4" t="s">
        <v>2395</v>
      </c>
      <c r="B28" s="5">
        <v>36</v>
      </c>
      <c r="C28" s="12">
        <f>B28/sectors_Analysis!$F$2</f>
        <v>0.12121212121212122</v>
      </c>
      <c r="D28" s="13">
        <f t="shared" si="0"/>
        <v>1.1483253588516746E-2</v>
      </c>
      <c r="E28" s="17">
        <f t="shared" si="1"/>
        <v>0.93237639553429008</v>
      </c>
    </row>
    <row r="29" spans="1:5" ht="15.75" customHeight="1">
      <c r="A29" s="6" t="s">
        <v>2396</v>
      </c>
      <c r="B29" s="7">
        <v>34</v>
      </c>
      <c r="C29" s="14">
        <f>B29/sectors_Analysis!$F$2</f>
        <v>0.11447811447811448</v>
      </c>
      <c r="D29" s="13">
        <f t="shared" si="0"/>
        <v>1.0845295055821371E-2</v>
      </c>
      <c r="E29" s="17">
        <f t="shared" si="1"/>
        <v>0.94322169059011141</v>
      </c>
    </row>
    <row r="30" spans="1:5" ht="15.75" customHeight="1">
      <c r="A30" s="4" t="s">
        <v>2397</v>
      </c>
      <c r="B30" s="5">
        <v>31</v>
      </c>
      <c r="C30" s="12">
        <f>B30/sectors_Analysis!$F$2</f>
        <v>0.10437710437710437</v>
      </c>
      <c r="D30" s="13">
        <f t="shared" si="0"/>
        <v>9.8883572567783091E-3</v>
      </c>
      <c r="E30" s="17">
        <f t="shared" si="1"/>
        <v>0.95311004784688969</v>
      </c>
    </row>
    <row r="31" spans="1:5" ht="15.75" customHeight="1">
      <c r="A31" s="6" t="s">
        <v>2398</v>
      </c>
      <c r="B31" s="7">
        <v>28</v>
      </c>
      <c r="C31" s="14">
        <f>B31/sectors_Analysis!$F$2</f>
        <v>9.4276094276094277E-2</v>
      </c>
      <c r="D31" s="13">
        <f t="shared" si="0"/>
        <v>8.9314194577352467E-3</v>
      </c>
      <c r="E31" s="17">
        <f t="shared" si="1"/>
        <v>0.96204146730462492</v>
      </c>
    </row>
    <row r="32" spans="1:5" ht="15.75" customHeight="1">
      <c r="A32" s="4" t="s">
        <v>2399</v>
      </c>
      <c r="B32" s="5">
        <v>26</v>
      </c>
      <c r="C32" s="12">
        <f>B32/sectors_Analysis!$F$2</f>
        <v>8.7542087542087546E-2</v>
      </c>
      <c r="D32" s="13">
        <f t="shared" si="0"/>
        <v>8.2934609250398719E-3</v>
      </c>
      <c r="E32" s="17">
        <f t="shared" si="1"/>
        <v>0.97033492822966483</v>
      </c>
    </row>
    <row r="33" spans="1:5" ht="15.75" customHeight="1">
      <c r="A33" s="6" t="s">
        <v>2400</v>
      </c>
      <c r="B33" s="7">
        <v>24</v>
      </c>
      <c r="C33" s="14">
        <f>B33/sectors_Analysis!$F$2</f>
        <v>8.0808080808080815E-2</v>
      </c>
      <c r="D33" s="13">
        <f t="shared" si="0"/>
        <v>7.6555023923444978E-3</v>
      </c>
      <c r="E33" s="17">
        <f t="shared" si="1"/>
        <v>0.9779904306220093</v>
      </c>
    </row>
    <row r="34" spans="1:5" ht="15.75" customHeight="1">
      <c r="A34" s="4" t="s">
        <v>2401</v>
      </c>
      <c r="B34" s="5">
        <v>24</v>
      </c>
      <c r="C34" s="12">
        <f>B34/sectors_Analysis!$F$2</f>
        <v>8.0808080808080815E-2</v>
      </c>
      <c r="D34" s="13">
        <f t="shared" si="0"/>
        <v>7.6555023923444978E-3</v>
      </c>
      <c r="E34" s="17">
        <f t="shared" si="1"/>
        <v>0.98564593301435377</v>
      </c>
    </row>
    <row r="35" spans="1:5" ht="15.75" customHeight="1">
      <c r="A35" s="6" t="s">
        <v>2402</v>
      </c>
      <c r="B35" s="7">
        <v>17</v>
      </c>
      <c r="C35" s="14">
        <f>B35/sectors_Analysis!$F$2</f>
        <v>5.7239057239057242E-2</v>
      </c>
      <c r="D35" s="13">
        <f t="shared" si="0"/>
        <v>5.4226475279106857E-3</v>
      </c>
      <c r="E35" s="17">
        <f t="shared" si="1"/>
        <v>0.99106858054226443</v>
      </c>
    </row>
    <row r="36" spans="1:5" ht="15.75" customHeight="1">
      <c r="A36" s="4" t="s">
        <v>2403</v>
      </c>
      <c r="B36" s="5">
        <v>14</v>
      </c>
      <c r="C36" s="12">
        <f>B36/sectors_Analysis!$F$2</f>
        <v>4.7138047138047139E-2</v>
      </c>
      <c r="D36" s="13">
        <f t="shared" si="0"/>
        <v>4.4657097288676234E-3</v>
      </c>
      <c r="E36" s="17">
        <f t="shared" si="1"/>
        <v>0.99553429027113205</v>
      </c>
    </row>
    <row r="37" spans="1:5" ht="15.75" customHeight="1">
      <c r="A37" s="6" t="s">
        <v>2404</v>
      </c>
      <c r="B37" s="7">
        <v>14</v>
      </c>
      <c r="C37" s="14">
        <f>B37/sectors_Analysis!$F$2</f>
        <v>4.7138047138047139E-2</v>
      </c>
      <c r="D37" s="13">
        <f t="shared" si="0"/>
        <v>4.4657097288676234E-3</v>
      </c>
      <c r="E37" s="17">
        <f t="shared" si="1"/>
        <v>0.99999999999999967</v>
      </c>
    </row>
    <row r="38" spans="1:5" ht="15.75" customHeight="1">
      <c r="A38" s="18"/>
      <c r="B38" s="19">
        <f>SUM(Table3[Technologies Count])</f>
        <v>3135</v>
      </c>
      <c r="C38" s="19"/>
      <c r="D38" s="20"/>
    </row>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dataValidations count="1">
    <dataValidation type="custom" allowBlank="1" showDropDown="1" sqref="C2:D37" xr:uid="{00000000-0002-0000-0300-000000000000}">
      <formula1>AND(ISNUMBER(C2),(NOT(OR(NOT(ISERROR(DATEVALUE(C2))), AND(ISNUMBER(C2), LEFT(CELL("format", C2))="D")))))</formula1>
    </dataValidation>
  </dataValidations>
  <pageMargins left="0.75" right="0.75" top="1" bottom="1"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2025-07-28T17:00:19Z</dcterms:created>
  <dcterms:modified xsi:type="dcterms:W3CDTF">2025-08-21T09:47:48Z</dcterms:modified>
  <cp:category/>
  <cp:contentStatus/>
</cp:coreProperties>
</file>